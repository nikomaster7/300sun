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rvas" sheetId="1" state="visible" r:id="rId1"/>
    <sheet name="Agencias" sheetId="2" state="visible" r:id="rId2"/>
    <sheet name="Ajus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0 €;-#,##0.00 €;-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FF"/>
    </font>
    <font>
      <name val="Arial"/>
    </font>
    <font>
      <name val="Arial"/>
      <b val="1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3" borderId="0" applyAlignment="1" pivotButton="0" quotePrefix="0" xfId="0">
      <alignment vertical="center" wrapText="1"/>
    </xf>
    <xf numFmtId="164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2" fillId="0" borderId="0" pivotButton="0" quotePrefix="0" xfId="0"/>
    <xf numFmtId="9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0" fontId="1" fillId="0" borderId="0" pivotButton="0" quotePrefix="0" xfId="0"/>
    <xf numFmtId="9" fontId="2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300sun</author>
  </authors>
  <commentList>
    <comment ref="G1" authorId="0" shapeId="0">
      <text>
        <t>Lo que pagó el cliente por el paseo o la paella (señal + resto). Sin propinas, entradas ni comida.</t>
      </text>
    </comment>
  </commentList>
</comments>
</file>

<file path=xl/comments/comment2.xml><?xml version="1.0" encoding="utf-8"?>
<comments xmlns="http://schemas.openxmlformats.org/spreadsheetml/2006/main">
  <authors>
    <author>300sun</author>
  </authors>
  <commentList>
    <comment ref="B2" authorId="0" shapeId="0">
      <text>
        <t>Decidido por Nicolás el 2026-10-06 (15 %). Si lo cambias aquí, cambia también 300sun.com/advisors y el PDF.</t>
      </text>
    </comment>
    <comment ref="B3" authorId="0" shapeId="0">
      <text>
        <t>Lo que promete 300sun.com/advisors: pago en los 7 días siguientes al paseo.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2" customWidth="1" min="3" max="3"/>
    <col width="24" customWidth="1" min="4" max="4"/>
    <col width="22" customWidth="1" min="5" max="5"/>
    <col width="10" customWidth="1" min="6" max="6"/>
    <col width="18" customWidth="1" min="7" max="7"/>
    <col width="11" customWidth="1" min="8" max="8"/>
    <col width="13" customWidth="1" min="9" max="9"/>
    <col width="14" customWidth="1" min="10" max="10"/>
    <col width="9" customWidth="1" min="11" max="11"/>
    <col width="13" customWidth="1" min="12" max="12"/>
    <col width="13" customWidth="1" min="13" max="13"/>
    <col width="40" customWidth="1" min="14" max="14"/>
  </cols>
  <sheetData>
    <row r="1" ht="32" customHeight="1">
      <c r="A1" s="1" t="inlineStr">
        <is>
          <t>Fecha del paseo</t>
        </is>
      </c>
      <c r="B1" s="1" t="inlineStr">
        <is>
          <t>Código ref (agencia)</t>
        </is>
      </c>
      <c r="C1" s="1" t="inlineStr">
        <is>
          <t>Agencia</t>
        </is>
      </c>
      <c r="D1" s="1" t="inlineStr">
        <is>
          <t>Cliente</t>
        </is>
      </c>
      <c r="E1" s="1" t="inlineStr">
        <is>
          <t>Servicio</t>
        </is>
      </c>
      <c r="F1" s="1" t="inlineStr">
        <is>
          <t>Personas</t>
        </is>
      </c>
      <c r="G1" s="1" t="inlineStr">
        <is>
          <t>Importe cobrado al cliente (€)</t>
        </is>
      </c>
      <c r="H1" s="1" t="inlineStr">
        <is>
          <t>Comisión %</t>
        </is>
      </c>
      <c r="I1" s="1" t="inlineStr">
        <is>
          <t>Comisión (€)</t>
        </is>
      </c>
      <c r="J1" s="1" t="inlineStr">
        <is>
          <t>Pagar antes de</t>
        </is>
      </c>
      <c r="K1" s="1" t="inlineStr">
        <is>
          <t>Pagada</t>
        </is>
      </c>
      <c r="L1" s="1" t="inlineStr">
        <is>
          <t>Fecha de pago</t>
        </is>
      </c>
      <c r="M1" s="1" t="inlineStr">
        <is>
          <t>Método</t>
        </is>
      </c>
      <c r="N1" s="1" t="inlineStr">
        <is>
          <t>Notas</t>
        </is>
      </c>
    </row>
    <row r="2">
      <c r="A2" s="2" t="n">
        <v>46346</v>
      </c>
      <c r="B2" s="3" t="inlineStr">
        <is>
          <t>test-agency</t>
        </is>
      </c>
      <c r="C2" s="4">
        <f>IF(B2="","",IFERROR(INDEX(Agencias!$A$2:$A$32,MATCH(B2,Agencias!$B$2:$B$32,0)),"¿Agencia nueva?"))</f>
        <v/>
      </c>
      <c r="D2" s="3" t="inlineStr">
        <is>
          <t>Smith family (ejemplo)</t>
        </is>
      </c>
      <c r="E2" s="3" t="inlineStr">
        <is>
          <t>Paseo + personas extra</t>
        </is>
      </c>
      <c r="F2" s="3" t="n">
        <v>5</v>
      </c>
      <c r="G2" s="5" t="n">
        <v>180</v>
      </c>
      <c r="H2" s="6">
        <f>IF(G2="","",Ajustes!$B$2)</f>
        <v/>
      </c>
      <c r="I2" s="7">
        <f>IF(G2="","",ROUND(G2*H2,2))</f>
        <v/>
      </c>
      <c r="J2" s="8">
        <f>IF(A2="","",A2+Ajustes!$B$3)</f>
        <v/>
      </c>
      <c r="K2" s="3" t="inlineStr">
        <is>
          <t>Sí</t>
        </is>
      </c>
      <c r="L2" s="2" t="n">
        <v>46350</v>
      </c>
      <c r="M2" s="3" t="inlineStr">
        <is>
          <t>Wise</t>
        </is>
      </c>
      <c r="N2" s="3" t="inlineStr">
        <is>
          <t>Ejemplo: 150 € + 1 persona extra 30 €</t>
        </is>
      </c>
    </row>
    <row r="3">
      <c r="A3" s="2" t="n">
        <v>46359</v>
      </c>
      <c r="B3" s="3" t="inlineStr">
        <is>
          <t>test-agency</t>
        </is>
      </c>
      <c r="C3" s="4">
        <f>IF(B3="","",IFERROR(INDEX(Agencias!$A$2:$A$32,MATCH(B3,Agencias!$B$2:$B$32,0)),"¿Agencia nueva?"))</f>
        <v/>
      </c>
      <c r="D3" s="3" t="inlineStr">
        <is>
          <t>Jones couple (ejemplo)</t>
        </is>
      </c>
      <c r="E3" s="3" t="inlineStr">
        <is>
          <t>Paseo privado 3 h</t>
        </is>
      </c>
      <c r="F3" s="3" t="n">
        <v>2</v>
      </c>
      <c r="G3" s="5" t="n">
        <v>150</v>
      </c>
      <c r="H3" s="6">
        <f>IF(G3="","",Ajustes!$B$2)</f>
        <v/>
      </c>
      <c r="I3" s="7">
        <f>IF(G3="","",ROUND(G3*H3,2))</f>
        <v/>
      </c>
      <c r="J3" s="8">
        <f>IF(A3="","",A3+Ajustes!$B$3)</f>
        <v/>
      </c>
      <c r="K3" s="3" t="inlineStr">
        <is>
          <t>No</t>
        </is>
      </c>
      <c r="L3" s="2" t="n"/>
      <c r="M3" s="3" t="n"/>
      <c r="N3" s="3" t="inlineStr">
        <is>
          <t>Ejemplo: comisión aún sin pagar</t>
        </is>
      </c>
    </row>
    <row r="4">
      <c r="A4" s="2" t="n"/>
      <c r="B4" s="3" t="n"/>
      <c r="C4" s="4">
        <f>IF(B4="","",IFERROR(INDEX(Agencias!$A$2:$A$32,MATCH(B4,Agencias!$B$2:$B$32,0)),"¿Agencia nueva?"))</f>
        <v/>
      </c>
      <c r="D4" s="3" t="n"/>
      <c r="E4" s="3" t="n"/>
      <c r="F4" s="3" t="n"/>
      <c r="G4" s="5" t="n"/>
      <c r="H4" s="6">
        <f>IF(G4="","",Ajustes!$B$2)</f>
        <v/>
      </c>
      <c r="I4" s="7">
        <f>IF(G4="","",ROUND(G4*H4,2))</f>
        <v/>
      </c>
      <c r="J4" s="8">
        <f>IF(A4="","",A4+Ajustes!$B$3)</f>
        <v/>
      </c>
      <c r="K4" s="3" t="n"/>
      <c r="L4" s="2" t="n"/>
      <c r="M4" s="3" t="n"/>
      <c r="N4" s="3" t="n"/>
    </row>
    <row r="5">
      <c r="A5" s="2" t="n"/>
      <c r="B5" s="3" t="n"/>
      <c r="C5" s="4">
        <f>IF(B5="","",IFERROR(INDEX(Agencias!$A$2:$A$32,MATCH(B5,Agencias!$B$2:$B$32,0)),"¿Agencia nueva?"))</f>
        <v/>
      </c>
      <c r="D5" s="3" t="n"/>
      <c r="E5" s="3" t="n"/>
      <c r="F5" s="3" t="n"/>
      <c r="G5" s="5" t="n"/>
      <c r="H5" s="6">
        <f>IF(G5="","",Ajustes!$B$2)</f>
        <v/>
      </c>
      <c r="I5" s="7">
        <f>IF(G5="","",ROUND(G5*H5,2))</f>
        <v/>
      </c>
      <c r="J5" s="8">
        <f>IF(A5="","",A5+Ajustes!$B$3)</f>
        <v/>
      </c>
      <c r="K5" s="3" t="n"/>
      <c r="L5" s="2" t="n"/>
      <c r="M5" s="3" t="n"/>
      <c r="N5" s="3" t="n"/>
    </row>
    <row r="6">
      <c r="A6" s="2" t="n"/>
      <c r="B6" s="3" t="n"/>
      <c r="C6" s="4">
        <f>IF(B6="","",IFERROR(INDEX(Agencias!$A$2:$A$32,MATCH(B6,Agencias!$B$2:$B$32,0)),"¿Agencia nueva?"))</f>
        <v/>
      </c>
      <c r="D6" s="3" t="n"/>
      <c r="E6" s="3" t="n"/>
      <c r="F6" s="3" t="n"/>
      <c r="G6" s="5" t="n"/>
      <c r="H6" s="6">
        <f>IF(G6="","",Ajustes!$B$2)</f>
        <v/>
      </c>
      <c r="I6" s="7">
        <f>IF(G6="","",ROUND(G6*H6,2))</f>
        <v/>
      </c>
      <c r="J6" s="8">
        <f>IF(A6="","",A6+Ajustes!$B$3)</f>
        <v/>
      </c>
      <c r="K6" s="3" t="n"/>
      <c r="L6" s="2" t="n"/>
      <c r="M6" s="3" t="n"/>
      <c r="N6" s="3" t="n"/>
    </row>
    <row r="7">
      <c r="A7" s="2" t="n"/>
      <c r="B7" s="3" t="n"/>
      <c r="C7" s="4">
        <f>IF(B7="","",IFERROR(INDEX(Agencias!$A$2:$A$32,MATCH(B7,Agencias!$B$2:$B$32,0)),"¿Agencia nueva?"))</f>
        <v/>
      </c>
      <c r="D7" s="3" t="n"/>
      <c r="E7" s="3" t="n"/>
      <c r="F7" s="3" t="n"/>
      <c r="G7" s="5" t="n"/>
      <c r="H7" s="6">
        <f>IF(G7="","",Ajustes!$B$2)</f>
        <v/>
      </c>
      <c r="I7" s="7">
        <f>IF(G7="","",ROUND(G7*H7,2))</f>
        <v/>
      </c>
      <c r="J7" s="8">
        <f>IF(A7="","",A7+Ajustes!$B$3)</f>
        <v/>
      </c>
      <c r="K7" s="3" t="n"/>
      <c r="L7" s="2" t="n"/>
      <c r="M7" s="3" t="n"/>
      <c r="N7" s="3" t="n"/>
    </row>
    <row r="8">
      <c r="A8" s="2" t="n"/>
      <c r="B8" s="3" t="n"/>
      <c r="C8" s="4">
        <f>IF(B8="","",IFERROR(INDEX(Agencias!$A$2:$A$32,MATCH(B8,Agencias!$B$2:$B$32,0)),"¿Agencia nueva?"))</f>
        <v/>
      </c>
      <c r="D8" s="3" t="n"/>
      <c r="E8" s="3" t="n"/>
      <c r="F8" s="3" t="n"/>
      <c r="G8" s="5" t="n"/>
      <c r="H8" s="6">
        <f>IF(G8="","",Ajustes!$B$2)</f>
        <v/>
      </c>
      <c r="I8" s="7">
        <f>IF(G8="","",ROUND(G8*H8,2))</f>
        <v/>
      </c>
      <c r="J8" s="8">
        <f>IF(A8="","",A8+Ajustes!$B$3)</f>
        <v/>
      </c>
      <c r="K8" s="3" t="n"/>
      <c r="L8" s="2" t="n"/>
      <c r="M8" s="3" t="n"/>
      <c r="N8" s="3" t="n"/>
    </row>
    <row r="9">
      <c r="A9" s="2" t="n"/>
      <c r="B9" s="3" t="n"/>
      <c r="C9" s="4">
        <f>IF(B9="","",IFERROR(INDEX(Agencias!$A$2:$A$32,MATCH(B9,Agencias!$B$2:$B$32,0)),"¿Agencia nueva?"))</f>
        <v/>
      </c>
      <c r="D9" s="3" t="n"/>
      <c r="E9" s="3" t="n"/>
      <c r="F9" s="3" t="n"/>
      <c r="G9" s="5" t="n"/>
      <c r="H9" s="6">
        <f>IF(G9="","",Ajustes!$B$2)</f>
        <v/>
      </c>
      <c r="I9" s="7">
        <f>IF(G9="","",ROUND(G9*H9,2))</f>
        <v/>
      </c>
      <c r="J9" s="8">
        <f>IF(A9="","",A9+Ajustes!$B$3)</f>
        <v/>
      </c>
      <c r="K9" s="3" t="n"/>
      <c r="L9" s="2" t="n"/>
      <c r="M9" s="3" t="n"/>
      <c r="N9" s="3" t="n"/>
    </row>
    <row r="10">
      <c r="A10" s="2" t="n"/>
      <c r="B10" s="3" t="n"/>
      <c r="C10" s="4">
        <f>IF(B10="","",IFERROR(INDEX(Agencias!$A$2:$A$32,MATCH(B10,Agencias!$B$2:$B$32,0)),"¿Agencia nueva?"))</f>
        <v/>
      </c>
      <c r="D10" s="3" t="n"/>
      <c r="E10" s="3" t="n"/>
      <c r="F10" s="3" t="n"/>
      <c r="G10" s="5" t="n"/>
      <c r="H10" s="6">
        <f>IF(G10="","",Ajustes!$B$2)</f>
        <v/>
      </c>
      <c r="I10" s="7">
        <f>IF(G10="","",ROUND(G10*H10,2))</f>
        <v/>
      </c>
      <c r="J10" s="8">
        <f>IF(A10="","",A10+Ajustes!$B$3)</f>
        <v/>
      </c>
      <c r="K10" s="3" t="n"/>
      <c r="L10" s="2" t="n"/>
      <c r="M10" s="3" t="n"/>
      <c r="N10" s="3" t="n"/>
    </row>
    <row r="11">
      <c r="A11" s="2" t="n"/>
      <c r="B11" s="3" t="n"/>
      <c r="C11" s="4">
        <f>IF(B11="","",IFERROR(INDEX(Agencias!$A$2:$A$32,MATCH(B11,Agencias!$B$2:$B$32,0)),"¿Agencia nueva?"))</f>
        <v/>
      </c>
      <c r="D11" s="3" t="n"/>
      <c r="E11" s="3" t="n"/>
      <c r="F11" s="3" t="n"/>
      <c r="G11" s="5" t="n"/>
      <c r="H11" s="6">
        <f>IF(G11="","",Ajustes!$B$2)</f>
        <v/>
      </c>
      <c r="I11" s="7">
        <f>IF(G11="","",ROUND(G11*H11,2))</f>
        <v/>
      </c>
      <c r="J11" s="8">
        <f>IF(A11="","",A11+Ajustes!$B$3)</f>
        <v/>
      </c>
      <c r="K11" s="3" t="n"/>
      <c r="L11" s="2" t="n"/>
      <c r="M11" s="3" t="n"/>
      <c r="N11" s="3" t="n"/>
    </row>
    <row r="12">
      <c r="A12" s="2" t="n"/>
      <c r="B12" s="3" t="n"/>
      <c r="C12" s="4">
        <f>IF(B12="","",IFERROR(INDEX(Agencias!$A$2:$A$32,MATCH(B12,Agencias!$B$2:$B$32,0)),"¿Agencia nueva?"))</f>
        <v/>
      </c>
      <c r="D12" s="3" t="n"/>
      <c r="E12" s="3" t="n"/>
      <c r="F12" s="3" t="n"/>
      <c r="G12" s="5" t="n"/>
      <c r="H12" s="6">
        <f>IF(G12="","",Ajustes!$B$2)</f>
        <v/>
      </c>
      <c r="I12" s="7">
        <f>IF(G12="","",ROUND(G12*H12,2))</f>
        <v/>
      </c>
      <c r="J12" s="8">
        <f>IF(A12="","",A12+Ajustes!$B$3)</f>
        <v/>
      </c>
      <c r="K12" s="3" t="n"/>
      <c r="L12" s="2" t="n"/>
      <c r="M12" s="3" t="n"/>
      <c r="N12" s="3" t="n"/>
    </row>
    <row r="13">
      <c r="A13" s="2" t="n"/>
      <c r="B13" s="3" t="n"/>
      <c r="C13" s="4">
        <f>IF(B13="","",IFERROR(INDEX(Agencias!$A$2:$A$32,MATCH(B13,Agencias!$B$2:$B$32,0)),"¿Agencia nueva?"))</f>
        <v/>
      </c>
      <c r="D13" s="3" t="n"/>
      <c r="E13" s="3" t="n"/>
      <c r="F13" s="3" t="n"/>
      <c r="G13" s="5" t="n"/>
      <c r="H13" s="6">
        <f>IF(G13="","",Ajustes!$B$2)</f>
        <v/>
      </c>
      <c r="I13" s="7">
        <f>IF(G13="","",ROUND(G13*H13,2))</f>
        <v/>
      </c>
      <c r="J13" s="8">
        <f>IF(A13="","",A13+Ajustes!$B$3)</f>
        <v/>
      </c>
      <c r="K13" s="3" t="n"/>
      <c r="L13" s="2" t="n"/>
      <c r="M13" s="3" t="n"/>
      <c r="N13" s="3" t="n"/>
    </row>
    <row r="14">
      <c r="A14" s="2" t="n"/>
      <c r="B14" s="3" t="n"/>
      <c r="C14" s="4">
        <f>IF(B14="","",IFERROR(INDEX(Agencias!$A$2:$A$32,MATCH(B14,Agencias!$B$2:$B$32,0)),"¿Agencia nueva?"))</f>
        <v/>
      </c>
      <c r="D14" s="3" t="n"/>
      <c r="E14" s="3" t="n"/>
      <c r="F14" s="3" t="n"/>
      <c r="G14" s="5" t="n"/>
      <c r="H14" s="6">
        <f>IF(G14="","",Ajustes!$B$2)</f>
        <v/>
      </c>
      <c r="I14" s="7">
        <f>IF(G14="","",ROUND(G14*H14,2))</f>
        <v/>
      </c>
      <c r="J14" s="8">
        <f>IF(A14="","",A14+Ajustes!$B$3)</f>
        <v/>
      </c>
      <c r="K14" s="3" t="n"/>
      <c r="L14" s="2" t="n"/>
      <c r="M14" s="3" t="n"/>
      <c r="N14" s="3" t="n"/>
    </row>
    <row r="15">
      <c r="A15" s="2" t="n"/>
      <c r="B15" s="3" t="n"/>
      <c r="C15" s="4">
        <f>IF(B15="","",IFERROR(INDEX(Agencias!$A$2:$A$32,MATCH(B15,Agencias!$B$2:$B$32,0)),"¿Agencia nueva?"))</f>
        <v/>
      </c>
      <c r="D15" s="3" t="n"/>
      <c r="E15" s="3" t="n"/>
      <c r="F15" s="3" t="n"/>
      <c r="G15" s="5" t="n"/>
      <c r="H15" s="6">
        <f>IF(G15="","",Ajustes!$B$2)</f>
        <v/>
      </c>
      <c r="I15" s="7">
        <f>IF(G15="","",ROUND(G15*H15,2))</f>
        <v/>
      </c>
      <c r="J15" s="8">
        <f>IF(A15="","",A15+Ajustes!$B$3)</f>
        <v/>
      </c>
      <c r="K15" s="3" t="n"/>
      <c r="L15" s="2" t="n"/>
      <c r="M15" s="3" t="n"/>
      <c r="N15" s="3" t="n"/>
    </row>
    <row r="16">
      <c r="A16" s="2" t="n"/>
      <c r="B16" s="3" t="n"/>
      <c r="C16" s="4">
        <f>IF(B16="","",IFERROR(INDEX(Agencias!$A$2:$A$32,MATCH(B16,Agencias!$B$2:$B$32,0)),"¿Agencia nueva?"))</f>
        <v/>
      </c>
      <c r="D16" s="3" t="n"/>
      <c r="E16" s="3" t="n"/>
      <c r="F16" s="3" t="n"/>
      <c r="G16" s="5" t="n"/>
      <c r="H16" s="6">
        <f>IF(G16="","",Ajustes!$B$2)</f>
        <v/>
      </c>
      <c r="I16" s="7">
        <f>IF(G16="","",ROUND(G16*H16,2))</f>
        <v/>
      </c>
      <c r="J16" s="8">
        <f>IF(A16="","",A16+Ajustes!$B$3)</f>
        <v/>
      </c>
      <c r="K16" s="3" t="n"/>
      <c r="L16" s="2" t="n"/>
      <c r="M16" s="3" t="n"/>
      <c r="N16" s="3" t="n"/>
    </row>
    <row r="17">
      <c r="A17" s="2" t="n"/>
      <c r="B17" s="3" t="n"/>
      <c r="C17" s="4">
        <f>IF(B17="","",IFERROR(INDEX(Agencias!$A$2:$A$32,MATCH(B17,Agencias!$B$2:$B$32,0)),"¿Agencia nueva?"))</f>
        <v/>
      </c>
      <c r="D17" s="3" t="n"/>
      <c r="E17" s="3" t="n"/>
      <c r="F17" s="3" t="n"/>
      <c r="G17" s="5" t="n"/>
      <c r="H17" s="6">
        <f>IF(G17="","",Ajustes!$B$2)</f>
        <v/>
      </c>
      <c r="I17" s="7">
        <f>IF(G17="","",ROUND(G17*H17,2))</f>
        <v/>
      </c>
      <c r="J17" s="8">
        <f>IF(A17="","",A17+Ajustes!$B$3)</f>
        <v/>
      </c>
      <c r="K17" s="3" t="n"/>
      <c r="L17" s="2" t="n"/>
      <c r="M17" s="3" t="n"/>
      <c r="N17" s="3" t="n"/>
    </row>
    <row r="18">
      <c r="A18" s="2" t="n"/>
      <c r="B18" s="3" t="n"/>
      <c r="C18" s="4">
        <f>IF(B18="","",IFERROR(INDEX(Agencias!$A$2:$A$32,MATCH(B18,Agencias!$B$2:$B$32,0)),"¿Agencia nueva?"))</f>
        <v/>
      </c>
      <c r="D18" s="3" t="n"/>
      <c r="E18" s="3" t="n"/>
      <c r="F18" s="3" t="n"/>
      <c r="G18" s="5" t="n"/>
      <c r="H18" s="6">
        <f>IF(G18="","",Ajustes!$B$2)</f>
        <v/>
      </c>
      <c r="I18" s="7">
        <f>IF(G18="","",ROUND(G18*H18,2))</f>
        <v/>
      </c>
      <c r="J18" s="8">
        <f>IF(A18="","",A18+Ajustes!$B$3)</f>
        <v/>
      </c>
      <c r="K18" s="3" t="n"/>
      <c r="L18" s="2" t="n"/>
      <c r="M18" s="3" t="n"/>
      <c r="N18" s="3" t="n"/>
    </row>
    <row r="19">
      <c r="A19" s="2" t="n"/>
      <c r="B19" s="3" t="n"/>
      <c r="C19" s="4">
        <f>IF(B19="","",IFERROR(INDEX(Agencias!$A$2:$A$32,MATCH(B19,Agencias!$B$2:$B$32,0)),"¿Agencia nueva?"))</f>
        <v/>
      </c>
      <c r="D19" s="3" t="n"/>
      <c r="E19" s="3" t="n"/>
      <c r="F19" s="3" t="n"/>
      <c r="G19" s="5" t="n"/>
      <c r="H19" s="6">
        <f>IF(G19="","",Ajustes!$B$2)</f>
        <v/>
      </c>
      <c r="I19" s="7">
        <f>IF(G19="","",ROUND(G19*H19,2))</f>
        <v/>
      </c>
      <c r="J19" s="8">
        <f>IF(A19="","",A19+Ajustes!$B$3)</f>
        <v/>
      </c>
      <c r="K19" s="3" t="n"/>
      <c r="L19" s="2" t="n"/>
      <c r="M19" s="3" t="n"/>
      <c r="N19" s="3" t="n"/>
    </row>
    <row r="20">
      <c r="A20" s="2" t="n"/>
      <c r="B20" s="3" t="n"/>
      <c r="C20" s="4">
        <f>IF(B20="","",IFERROR(INDEX(Agencias!$A$2:$A$32,MATCH(B20,Agencias!$B$2:$B$32,0)),"¿Agencia nueva?"))</f>
        <v/>
      </c>
      <c r="D20" s="3" t="n"/>
      <c r="E20" s="3" t="n"/>
      <c r="F20" s="3" t="n"/>
      <c r="G20" s="5" t="n"/>
      <c r="H20" s="6">
        <f>IF(G20="","",Ajustes!$B$2)</f>
        <v/>
      </c>
      <c r="I20" s="7">
        <f>IF(G20="","",ROUND(G20*H20,2))</f>
        <v/>
      </c>
      <c r="J20" s="8">
        <f>IF(A20="","",A20+Ajustes!$B$3)</f>
        <v/>
      </c>
      <c r="K20" s="3" t="n"/>
      <c r="L20" s="2" t="n"/>
      <c r="M20" s="3" t="n"/>
      <c r="N20" s="3" t="n"/>
    </row>
    <row r="21">
      <c r="A21" s="2" t="n"/>
      <c r="B21" s="3" t="n"/>
      <c r="C21" s="4">
        <f>IF(B21="","",IFERROR(INDEX(Agencias!$A$2:$A$32,MATCH(B21,Agencias!$B$2:$B$32,0)),"¿Agencia nueva?"))</f>
        <v/>
      </c>
      <c r="D21" s="3" t="n"/>
      <c r="E21" s="3" t="n"/>
      <c r="F21" s="3" t="n"/>
      <c r="G21" s="5" t="n"/>
      <c r="H21" s="6">
        <f>IF(G21="","",Ajustes!$B$2)</f>
        <v/>
      </c>
      <c r="I21" s="7">
        <f>IF(G21="","",ROUND(G21*H21,2))</f>
        <v/>
      </c>
      <c r="J21" s="8">
        <f>IF(A21="","",A21+Ajustes!$B$3)</f>
        <v/>
      </c>
      <c r="K21" s="3" t="n"/>
      <c r="L21" s="2" t="n"/>
      <c r="M21" s="3" t="n"/>
      <c r="N21" s="3" t="n"/>
    </row>
    <row r="22">
      <c r="A22" s="2" t="n"/>
      <c r="B22" s="3" t="n"/>
      <c r="C22" s="4">
        <f>IF(B22="","",IFERROR(INDEX(Agencias!$A$2:$A$32,MATCH(B22,Agencias!$B$2:$B$32,0)),"¿Agencia nueva?"))</f>
        <v/>
      </c>
      <c r="D22" s="3" t="n"/>
      <c r="E22" s="3" t="n"/>
      <c r="F22" s="3" t="n"/>
      <c r="G22" s="5" t="n"/>
      <c r="H22" s="6">
        <f>IF(G22="","",Ajustes!$B$2)</f>
        <v/>
      </c>
      <c r="I22" s="7">
        <f>IF(G22="","",ROUND(G22*H22,2))</f>
        <v/>
      </c>
      <c r="J22" s="8">
        <f>IF(A22="","",A22+Ajustes!$B$3)</f>
        <v/>
      </c>
      <c r="K22" s="3" t="n"/>
      <c r="L22" s="2" t="n"/>
      <c r="M22" s="3" t="n"/>
      <c r="N22" s="3" t="n"/>
    </row>
    <row r="23">
      <c r="A23" s="2" t="n"/>
      <c r="B23" s="3" t="n"/>
      <c r="C23" s="4">
        <f>IF(B23="","",IFERROR(INDEX(Agencias!$A$2:$A$32,MATCH(B23,Agencias!$B$2:$B$32,0)),"¿Agencia nueva?"))</f>
        <v/>
      </c>
      <c r="D23" s="3" t="n"/>
      <c r="E23" s="3" t="n"/>
      <c r="F23" s="3" t="n"/>
      <c r="G23" s="5" t="n"/>
      <c r="H23" s="6">
        <f>IF(G23="","",Ajustes!$B$2)</f>
        <v/>
      </c>
      <c r="I23" s="7">
        <f>IF(G23="","",ROUND(G23*H23,2))</f>
        <v/>
      </c>
      <c r="J23" s="8">
        <f>IF(A23="","",A23+Ajustes!$B$3)</f>
        <v/>
      </c>
      <c r="K23" s="3" t="n"/>
      <c r="L23" s="2" t="n"/>
      <c r="M23" s="3" t="n"/>
      <c r="N23" s="3" t="n"/>
    </row>
    <row r="24">
      <c r="A24" s="2" t="n"/>
      <c r="B24" s="3" t="n"/>
      <c r="C24" s="4">
        <f>IF(B24="","",IFERROR(INDEX(Agencias!$A$2:$A$32,MATCH(B24,Agencias!$B$2:$B$32,0)),"¿Agencia nueva?"))</f>
        <v/>
      </c>
      <c r="D24" s="3" t="n"/>
      <c r="E24" s="3" t="n"/>
      <c r="F24" s="3" t="n"/>
      <c r="G24" s="5" t="n"/>
      <c r="H24" s="6">
        <f>IF(G24="","",Ajustes!$B$2)</f>
        <v/>
      </c>
      <c r="I24" s="7">
        <f>IF(G24="","",ROUND(G24*H24,2))</f>
        <v/>
      </c>
      <c r="J24" s="8">
        <f>IF(A24="","",A24+Ajustes!$B$3)</f>
        <v/>
      </c>
      <c r="K24" s="3" t="n"/>
      <c r="L24" s="2" t="n"/>
      <c r="M24" s="3" t="n"/>
      <c r="N24" s="3" t="n"/>
    </row>
    <row r="25">
      <c r="A25" s="2" t="n"/>
      <c r="B25" s="3" t="n"/>
      <c r="C25" s="4">
        <f>IF(B25="","",IFERROR(INDEX(Agencias!$A$2:$A$32,MATCH(B25,Agencias!$B$2:$B$32,0)),"¿Agencia nueva?"))</f>
        <v/>
      </c>
      <c r="D25" s="3" t="n"/>
      <c r="E25" s="3" t="n"/>
      <c r="F25" s="3" t="n"/>
      <c r="G25" s="5" t="n"/>
      <c r="H25" s="6">
        <f>IF(G25="","",Ajustes!$B$2)</f>
        <v/>
      </c>
      <c r="I25" s="7">
        <f>IF(G25="","",ROUND(G25*H25,2))</f>
        <v/>
      </c>
      <c r="J25" s="8">
        <f>IF(A25="","",A25+Ajustes!$B$3)</f>
        <v/>
      </c>
      <c r="K25" s="3" t="n"/>
      <c r="L25" s="2" t="n"/>
      <c r="M25" s="3" t="n"/>
      <c r="N25" s="3" t="n"/>
    </row>
    <row r="26">
      <c r="A26" s="2" t="n"/>
      <c r="B26" s="3" t="n"/>
      <c r="C26" s="4">
        <f>IF(B26="","",IFERROR(INDEX(Agencias!$A$2:$A$32,MATCH(B26,Agencias!$B$2:$B$32,0)),"¿Agencia nueva?"))</f>
        <v/>
      </c>
      <c r="D26" s="3" t="n"/>
      <c r="E26" s="3" t="n"/>
      <c r="F26" s="3" t="n"/>
      <c r="G26" s="5" t="n"/>
      <c r="H26" s="6">
        <f>IF(G26="","",Ajustes!$B$2)</f>
        <v/>
      </c>
      <c r="I26" s="7">
        <f>IF(G26="","",ROUND(G26*H26,2))</f>
        <v/>
      </c>
      <c r="J26" s="8">
        <f>IF(A26="","",A26+Ajustes!$B$3)</f>
        <v/>
      </c>
      <c r="K26" s="3" t="n"/>
      <c r="L26" s="2" t="n"/>
      <c r="M26" s="3" t="n"/>
      <c r="N26" s="3" t="n"/>
    </row>
    <row r="27">
      <c r="A27" s="2" t="n"/>
      <c r="B27" s="3" t="n"/>
      <c r="C27" s="4">
        <f>IF(B27="","",IFERROR(INDEX(Agencias!$A$2:$A$32,MATCH(B27,Agencias!$B$2:$B$32,0)),"¿Agencia nueva?"))</f>
        <v/>
      </c>
      <c r="D27" s="3" t="n"/>
      <c r="E27" s="3" t="n"/>
      <c r="F27" s="3" t="n"/>
      <c r="G27" s="5" t="n"/>
      <c r="H27" s="6">
        <f>IF(G27="","",Ajustes!$B$2)</f>
        <v/>
      </c>
      <c r="I27" s="7">
        <f>IF(G27="","",ROUND(G27*H27,2))</f>
        <v/>
      </c>
      <c r="J27" s="8">
        <f>IF(A27="","",A27+Ajustes!$B$3)</f>
        <v/>
      </c>
      <c r="K27" s="3" t="n"/>
      <c r="L27" s="2" t="n"/>
      <c r="M27" s="3" t="n"/>
      <c r="N27" s="3" t="n"/>
    </row>
    <row r="28">
      <c r="A28" s="2" t="n"/>
      <c r="B28" s="3" t="n"/>
      <c r="C28" s="4">
        <f>IF(B28="","",IFERROR(INDEX(Agencias!$A$2:$A$32,MATCH(B28,Agencias!$B$2:$B$32,0)),"¿Agencia nueva?"))</f>
        <v/>
      </c>
      <c r="D28" s="3" t="n"/>
      <c r="E28" s="3" t="n"/>
      <c r="F28" s="3" t="n"/>
      <c r="G28" s="5" t="n"/>
      <c r="H28" s="6">
        <f>IF(G28="","",Ajustes!$B$2)</f>
        <v/>
      </c>
      <c r="I28" s="7">
        <f>IF(G28="","",ROUND(G28*H28,2))</f>
        <v/>
      </c>
      <c r="J28" s="8">
        <f>IF(A28="","",A28+Ajustes!$B$3)</f>
        <v/>
      </c>
      <c r="K28" s="3" t="n"/>
      <c r="L28" s="2" t="n"/>
      <c r="M28" s="3" t="n"/>
      <c r="N28" s="3" t="n"/>
    </row>
    <row r="29">
      <c r="A29" s="2" t="n"/>
      <c r="B29" s="3" t="n"/>
      <c r="C29" s="4">
        <f>IF(B29="","",IFERROR(INDEX(Agencias!$A$2:$A$32,MATCH(B29,Agencias!$B$2:$B$32,0)),"¿Agencia nueva?"))</f>
        <v/>
      </c>
      <c r="D29" s="3" t="n"/>
      <c r="E29" s="3" t="n"/>
      <c r="F29" s="3" t="n"/>
      <c r="G29" s="5" t="n"/>
      <c r="H29" s="6">
        <f>IF(G29="","",Ajustes!$B$2)</f>
        <v/>
      </c>
      <c r="I29" s="7">
        <f>IF(G29="","",ROUND(G29*H29,2))</f>
        <v/>
      </c>
      <c r="J29" s="8">
        <f>IF(A29="","",A29+Ajustes!$B$3)</f>
        <v/>
      </c>
      <c r="K29" s="3" t="n"/>
      <c r="L29" s="2" t="n"/>
      <c r="M29" s="3" t="n"/>
      <c r="N29" s="3" t="n"/>
    </row>
    <row r="30">
      <c r="A30" s="2" t="n"/>
      <c r="B30" s="3" t="n"/>
      <c r="C30" s="4">
        <f>IF(B30="","",IFERROR(INDEX(Agencias!$A$2:$A$32,MATCH(B30,Agencias!$B$2:$B$32,0)),"¿Agencia nueva?"))</f>
        <v/>
      </c>
      <c r="D30" s="3" t="n"/>
      <c r="E30" s="3" t="n"/>
      <c r="F30" s="3" t="n"/>
      <c r="G30" s="5" t="n"/>
      <c r="H30" s="6">
        <f>IF(G30="","",Ajustes!$B$2)</f>
        <v/>
      </c>
      <c r="I30" s="7">
        <f>IF(G30="","",ROUND(G30*H30,2))</f>
        <v/>
      </c>
      <c r="J30" s="8">
        <f>IF(A30="","",A30+Ajustes!$B$3)</f>
        <v/>
      </c>
      <c r="K30" s="3" t="n"/>
      <c r="L30" s="2" t="n"/>
      <c r="M30" s="3" t="n"/>
      <c r="N30" s="3" t="n"/>
    </row>
    <row r="31">
      <c r="A31" s="2" t="n"/>
      <c r="B31" s="3" t="n"/>
      <c r="C31" s="4">
        <f>IF(B31="","",IFERROR(INDEX(Agencias!$A$2:$A$32,MATCH(B31,Agencias!$B$2:$B$32,0)),"¿Agencia nueva?"))</f>
        <v/>
      </c>
      <c r="D31" s="3" t="n"/>
      <c r="E31" s="3" t="n"/>
      <c r="F31" s="3" t="n"/>
      <c r="G31" s="5" t="n"/>
      <c r="H31" s="6">
        <f>IF(G31="","",Ajustes!$B$2)</f>
        <v/>
      </c>
      <c r="I31" s="7">
        <f>IF(G31="","",ROUND(G31*H31,2))</f>
        <v/>
      </c>
      <c r="J31" s="8">
        <f>IF(A31="","",A31+Ajustes!$B$3)</f>
        <v/>
      </c>
      <c r="K31" s="3" t="n"/>
      <c r="L31" s="2" t="n"/>
      <c r="M31" s="3" t="n"/>
      <c r="N31" s="3" t="n"/>
    </row>
    <row r="32">
      <c r="A32" s="2" t="n"/>
      <c r="B32" s="3" t="n"/>
      <c r="C32" s="4">
        <f>IF(B32="","",IFERROR(INDEX(Agencias!$A$2:$A$32,MATCH(B32,Agencias!$B$2:$B$32,0)),"¿Agencia nueva?"))</f>
        <v/>
      </c>
      <c r="D32" s="3" t="n"/>
      <c r="E32" s="3" t="n"/>
      <c r="F32" s="3" t="n"/>
      <c r="G32" s="5" t="n"/>
      <c r="H32" s="6">
        <f>IF(G32="","",Ajustes!$B$2)</f>
        <v/>
      </c>
      <c r="I32" s="7">
        <f>IF(G32="","",ROUND(G32*H32,2))</f>
        <v/>
      </c>
      <c r="J32" s="8">
        <f>IF(A32="","",A32+Ajustes!$B$3)</f>
        <v/>
      </c>
      <c r="K32" s="3" t="n"/>
      <c r="L32" s="2" t="n"/>
      <c r="M32" s="3" t="n"/>
      <c r="N32" s="3" t="n"/>
    </row>
    <row r="33">
      <c r="A33" s="2" t="n"/>
      <c r="B33" s="3" t="n"/>
      <c r="C33" s="4">
        <f>IF(B33="","",IFERROR(INDEX(Agencias!$A$2:$A$32,MATCH(B33,Agencias!$B$2:$B$32,0)),"¿Agencia nueva?"))</f>
        <v/>
      </c>
      <c r="D33" s="3" t="n"/>
      <c r="E33" s="3" t="n"/>
      <c r="F33" s="3" t="n"/>
      <c r="G33" s="5" t="n"/>
      <c r="H33" s="6">
        <f>IF(G33="","",Ajustes!$B$2)</f>
        <v/>
      </c>
      <c r="I33" s="7">
        <f>IF(G33="","",ROUND(G33*H33,2))</f>
        <v/>
      </c>
      <c r="J33" s="8">
        <f>IF(A33="","",A33+Ajustes!$B$3)</f>
        <v/>
      </c>
      <c r="K33" s="3" t="n"/>
      <c r="L33" s="2" t="n"/>
      <c r="M33" s="3" t="n"/>
      <c r="N33" s="3" t="n"/>
    </row>
    <row r="34">
      <c r="A34" s="2" t="n"/>
      <c r="B34" s="3" t="n"/>
      <c r="C34" s="4">
        <f>IF(B34="","",IFERROR(INDEX(Agencias!$A$2:$A$32,MATCH(B34,Agencias!$B$2:$B$32,0)),"¿Agencia nueva?"))</f>
        <v/>
      </c>
      <c r="D34" s="3" t="n"/>
      <c r="E34" s="3" t="n"/>
      <c r="F34" s="3" t="n"/>
      <c r="G34" s="5" t="n"/>
      <c r="H34" s="6">
        <f>IF(G34="","",Ajustes!$B$2)</f>
        <v/>
      </c>
      <c r="I34" s="7">
        <f>IF(G34="","",ROUND(G34*H34,2))</f>
        <v/>
      </c>
      <c r="J34" s="8">
        <f>IF(A34="","",A34+Ajustes!$B$3)</f>
        <v/>
      </c>
      <c r="K34" s="3" t="n"/>
      <c r="L34" s="2" t="n"/>
      <c r="M34" s="3" t="n"/>
      <c r="N34" s="3" t="n"/>
    </row>
    <row r="35">
      <c r="A35" s="2" t="n"/>
      <c r="B35" s="3" t="n"/>
      <c r="C35" s="4">
        <f>IF(B35="","",IFERROR(INDEX(Agencias!$A$2:$A$32,MATCH(B35,Agencias!$B$2:$B$32,0)),"¿Agencia nueva?"))</f>
        <v/>
      </c>
      <c r="D35" s="3" t="n"/>
      <c r="E35" s="3" t="n"/>
      <c r="F35" s="3" t="n"/>
      <c r="G35" s="5" t="n"/>
      <c r="H35" s="6">
        <f>IF(G35="","",Ajustes!$B$2)</f>
        <v/>
      </c>
      <c r="I35" s="7">
        <f>IF(G35="","",ROUND(G35*H35,2))</f>
        <v/>
      </c>
      <c r="J35" s="8">
        <f>IF(A35="","",A35+Ajustes!$B$3)</f>
        <v/>
      </c>
      <c r="K35" s="3" t="n"/>
      <c r="L35" s="2" t="n"/>
      <c r="M35" s="3" t="n"/>
      <c r="N35" s="3" t="n"/>
    </row>
    <row r="36">
      <c r="A36" s="2" t="n"/>
      <c r="B36" s="3" t="n"/>
      <c r="C36" s="4">
        <f>IF(B36="","",IFERROR(INDEX(Agencias!$A$2:$A$32,MATCH(B36,Agencias!$B$2:$B$32,0)),"¿Agencia nueva?"))</f>
        <v/>
      </c>
      <c r="D36" s="3" t="n"/>
      <c r="E36" s="3" t="n"/>
      <c r="F36" s="3" t="n"/>
      <c r="G36" s="5" t="n"/>
      <c r="H36" s="6">
        <f>IF(G36="","",Ajustes!$B$2)</f>
        <v/>
      </c>
      <c r="I36" s="7">
        <f>IF(G36="","",ROUND(G36*H36,2))</f>
        <v/>
      </c>
      <c r="J36" s="8">
        <f>IF(A36="","",A36+Ajustes!$B$3)</f>
        <v/>
      </c>
      <c r="K36" s="3" t="n"/>
      <c r="L36" s="2" t="n"/>
      <c r="M36" s="3" t="n"/>
      <c r="N36" s="3" t="n"/>
    </row>
    <row r="37">
      <c r="A37" s="2" t="n"/>
      <c r="B37" s="3" t="n"/>
      <c r="C37" s="4">
        <f>IF(B37="","",IFERROR(INDEX(Agencias!$A$2:$A$32,MATCH(B37,Agencias!$B$2:$B$32,0)),"¿Agencia nueva?"))</f>
        <v/>
      </c>
      <c r="D37" s="3" t="n"/>
      <c r="E37" s="3" t="n"/>
      <c r="F37" s="3" t="n"/>
      <c r="G37" s="5" t="n"/>
      <c r="H37" s="6">
        <f>IF(G37="","",Ajustes!$B$2)</f>
        <v/>
      </c>
      <c r="I37" s="7">
        <f>IF(G37="","",ROUND(G37*H37,2))</f>
        <v/>
      </c>
      <c r="J37" s="8">
        <f>IF(A37="","",A37+Ajustes!$B$3)</f>
        <v/>
      </c>
      <c r="K37" s="3" t="n"/>
      <c r="L37" s="2" t="n"/>
      <c r="M37" s="3" t="n"/>
      <c r="N37" s="3" t="n"/>
    </row>
    <row r="38">
      <c r="A38" s="2" t="n"/>
      <c r="B38" s="3" t="n"/>
      <c r="C38" s="4">
        <f>IF(B38="","",IFERROR(INDEX(Agencias!$A$2:$A$32,MATCH(B38,Agencias!$B$2:$B$32,0)),"¿Agencia nueva?"))</f>
        <v/>
      </c>
      <c r="D38" s="3" t="n"/>
      <c r="E38" s="3" t="n"/>
      <c r="F38" s="3" t="n"/>
      <c r="G38" s="5" t="n"/>
      <c r="H38" s="6">
        <f>IF(G38="","",Ajustes!$B$2)</f>
        <v/>
      </c>
      <c r="I38" s="7">
        <f>IF(G38="","",ROUND(G38*H38,2))</f>
        <v/>
      </c>
      <c r="J38" s="8">
        <f>IF(A38="","",A38+Ajustes!$B$3)</f>
        <v/>
      </c>
      <c r="K38" s="3" t="n"/>
      <c r="L38" s="2" t="n"/>
      <c r="M38" s="3" t="n"/>
      <c r="N38" s="3" t="n"/>
    </row>
    <row r="39">
      <c r="A39" s="2" t="n"/>
      <c r="B39" s="3" t="n"/>
      <c r="C39" s="4">
        <f>IF(B39="","",IFERROR(INDEX(Agencias!$A$2:$A$32,MATCH(B39,Agencias!$B$2:$B$32,0)),"¿Agencia nueva?"))</f>
        <v/>
      </c>
      <c r="D39" s="3" t="n"/>
      <c r="E39" s="3" t="n"/>
      <c r="F39" s="3" t="n"/>
      <c r="G39" s="5" t="n"/>
      <c r="H39" s="6">
        <f>IF(G39="","",Ajustes!$B$2)</f>
        <v/>
      </c>
      <c r="I39" s="7">
        <f>IF(G39="","",ROUND(G39*H39,2))</f>
        <v/>
      </c>
      <c r="J39" s="8">
        <f>IF(A39="","",A39+Ajustes!$B$3)</f>
        <v/>
      </c>
      <c r="K39" s="3" t="n"/>
      <c r="L39" s="2" t="n"/>
      <c r="M39" s="3" t="n"/>
      <c r="N39" s="3" t="n"/>
    </row>
    <row r="40">
      <c r="A40" s="2" t="n"/>
      <c r="B40" s="3" t="n"/>
      <c r="C40" s="4">
        <f>IF(B40="","",IFERROR(INDEX(Agencias!$A$2:$A$32,MATCH(B40,Agencias!$B$2:$B$32,0)),"¿Agencia nueva?"))</f>
        <v/>
      </c>
      <c r="D40" s="3" t="n"/>
      <c r="E40" s="3" t="n"/>
      <c r="F40" s="3" t="n"/>
      <c r="G40" s="5" t="n"/>
      <c r="H40" s="6">
        <f>IF(G40="","",Ajustes!$B$2)</f>
        <v/>
      </c>
      <c r="I40" s="7">
        <f>IF(G40="","",ROUND(G40*H40,2))</f>
        <v/>
      </c>
      <c r="J40" s="8">
        <f>IF(A40="","",A40+Ajustes!$B$3)</f>
        <v/>
      </c>
      <c r="K40" s="3" t="n"/>
      <c r="L40" s="2" t="n"/>
      <c r="M40" s="3" t="n"/>
      <c r="N40" s="3" t="n"/>
    </row>
    <row r="41">
      <c r="A41" s="2" t="n"/>
      <c r="B41" s="3" t="n"/>
      <c r="C41" s="4">
        <f>IF(B41="","",IFERROR(INDEX(Agencias!$A$2:$A$32,MATCH(B41,Agencias!$B$2:$B$32,0)),"¿Agencia nueva?"))</f>
        <v/>
      </c>
      <c r="D41" s="3" t="n"/>
      <c r="E41" s="3" t="n"/>
      <c r="F41" s="3" t="n"/>
      <c r="G41" s="5" t="n"/>
      <c r="H41" s="6">
        <f>IF(G41="","",Ajustes!$B$2)</f>
        <v/>
      </c>
      <c r="I41" s="7">
        <f>IF(G41="","",ROUND(G41*H41,2))</f>
        <v/>
      </c>
      <c r="J41" s="8">
        <f>IF(A41="","",A41+Ajustes!$B$3)</f>
        <v/>
      </c>
      <c r="K41" s="3" t="n"/>
      <c r="L41" s="2" t="n"/>
      <c r="M41" s="3" t="n"/>
      <c r="N41" s="3" t="n"/>
    </row>
    <row r="42">
      <c r="A42" s="2" t="n"/>
      <c r="B42" s="3" t="n"/>
      <c r="C42" s="4">
        <f>IF(B42="","",IFERROR(INDEX(Agencias!$A$2:$A$32,MATCH(B42,Agencias!$B$2:$B$32,0)),"¿Agencia nueva?"))</f>
        <v/>
      </c>
      <c r="D42" s="3" t="n"/>
      <c r="E42" s="3" t="n"/>
      <c r="F42" s="3" t="n"/>
      <c r="G42" s="5" t="n"/>
      <c r="H42" s="6">
        <f>IF(G42="","",Ajustes!$B$2)</f>
        <v/>
      </c>
      <c r="I42" s="7">
        <f>IF(G42="","",ROUND(G42*H42,2))</f>
        <v/>
      </c>
      <c r="J42" s="8">
        <f>IF(A42="","",A42+Ajustes!$B$3)</f>
        <v/>
      </c>
      <c r="K42" s="3" t="n"/>
      <c r="L42" s="2" t="n"/>
      <c r="M42" s="3" t="n"/>
      <c r="N42" s="3" t="n"/>
    </row>
    <row r="43">
      <c r="A43" s="2" t="n"/>
      <c r="B43" s="3" t="n"/>
      <c r="C43" s="4">
        <f>IF(B43="","",IFERROR(INDEX(Agencias!$A$2:$A$32,MATCH(B43,Agencias!$B$2:$B$32,0)),"¿Agencia nueva?"))</f>
        <v/>
      </c>
      <c r="D43" s="3" t="n"/>
      <c r="E43" s="3" t="n"/>
      <c r="F43" s="3" t="n"/>
      <c r="G43" s="5" t="n"/>
      <c r="H43" s="6">
        <f>IF(G43="","",Ajustes!$B$2)</f>
        <v/>
      </c>
      <c r="I43" s="7">
        <f>IF(G43="","",ROUND(G43*H43,2))</f>
        <v/>
      </c>
      <c r="J43" s="8">
        <f>IF(A43="","",A43+Ajustes!$B$3)</f>
        <v/>
      </c>
      <c r="K43" s="3" t="n"/>
      <c r="L43" s="2" t="n"/>
      <c r="M43" s="3" t="n"/>
      <c r="N43" s="3" t="n"/>
    </row>
    <row r="44">
      <c r="A44" s="2" t="n"/>
      <c r="B44" s="3" t="n"/>
      <c r="C44" s="4">
        <f>IF(B44="","",IFERROR(INDEX(Agencias!$A$2:$A$32,MATCH(B44,Agencias!$B$2:$B$32,0)),"¿Agencia nueva?"))</f>
        <v/>
      </c>
      <c r="D44" s="3" t="n"/>
      <c r="E44" s="3" t="n"/>
      <c r="F44" s="3" t="n"/>
      <c r="G44" s="5" t="n"/>
      <c r="H44" s="6">
        <f>IF(G44="","",Ajustes!$B$2)</f>
        <v/>
      </c>
      <c r="I44" s="7">
        <f>IF(G44="","",ROUND(G44*H44,2))</f>
        <v/>
      </c>
      <c r="J44" s="8">
        <f>IF(A44="","",A44+Ajustes!$B$3)</f>
        <v/>
      </c>
      <c r="K44" s="3" t="n"/>
      <c r="L44" s="2" t="n"/>
      <c r="M44" s="3" t="n"/>
      <c r="N44" s="3" t="n"/>
    </row>
    <row r="45">
      <c r="A45" s="2" t="n"/>
      <c r="B45" s="3" t="n"/>
      <c r="C45" s="4">
        <f>IF(B45="","",IFERROR(INDEX(Agencias!$A$2:$A$32,MATCH(B45,Agencias!$B$2:$B$32,0)),"¿Agencia nueva?"))</f>
        <v/>
      </c>
      <c r="D45" s="3" t="n"/>
      <c r="E45" s="3" t="n"/>
      <c r="F45" s="3" t="n"/>
      <c r="G45" s="5" t="n"/>
      <c r="H45" s="6">
        <f>IF(G45="","",Ajustes!$B$2)</f>
        <v/>
      </c>
      <c r="I45" s="7">
        <f>IF(G45="","",ROUND(G45*H45,2))</f>
        <v/>
      </c>
      <c r="J45" s="8">
        <f>IF(A45="","",A45+Ajustes!$B$3)</f>
        <v/>
      </c>
      <c r="K45" s="3" t="n"/>
      <c r="L45" s="2" t="n"/>
      <c r="M45" s="3" t="n"/>
      <c r="N45" s="3" t="n"/>
    </row>
    <row r="46">
      <c r="A46" s="2" t="n"/>
      <c r="B46" s="3" t="n"/>
      <c r="C46" s="4">
        <f>IF(B46="","",IFERROR(INDEX(Agencias!$A$2:$A$32,MATCH(B46,Agencias!$B$2:$B$32,0)),"¿Agencia nueva?"))</f>
        <v/>
      </c>
      <c r="D46" s="3" t="n"/>
      <c r="E46" s="3" t="n"/>
      <c r="F46" s="3" t="n"/>
      <c r="G46" s="5" t="n"/>
      <c r="H46" s="6">
        <f>IF(G46="","",Ajustes!$B$2)</f>
        <v/>
      </c>
      <c r="I46" s="7">
        <f>IF(G46="","",ROUND(G46*H46,2))</f>
        <v/>
      </c>
      <c r="J46" s="8">
        <f>IF(A46="","",A46+Ajustes!$B$3)</f>
        <v/>
      </c>
      <c r="K46" s="3" t="n"/>
      <c r="L46" s="2" t="n"/>
      <c r="M46" s="3" t="n"/>
      <c r="N46" s="3" t="n"/>
    </row>
    <row r="47">
      <c r="A47" s="2" t="n"/>
      <c r="B47" s="3" t="n"/>
      <c r="C47" s="4">
        <f>IF(B47="","",IFERROR(INDEX(Agencias!$A$2:$A$32,MATCH(B47,Agencias!$B$2:$B$32,0)),"¿Agencia nueva?"))</f>
        <v/>
      </c>
      <c r="D47" s="3" t="n"/>
      <c r="E47" s="3" t="n"/>
      <c r="F47" s="3" t="n"/>
      <c r="G47" s="5" t="n"/>
      <c r="H47" s="6">
        <f>IF(G47="","",Ajustes!$B$2)</f>
        <v/>
      </c>
      <c r="I47" s="7">
        <f>IF(G47="","",ROUND(G47*H47,2))</f>
        <v/>
      </c>
      <c r="J47" s="8">
        <f>IF(A47="","",A47+Ajustes!$B$3)</f>
        <v/>
      </c>
      <c r="K47" s="3" t="n"/>
      <c r="L47" s="2" t="n"/>
      <c r="M47" s="3" t="n"/>
      <c r="N47" s="3" t="n"/>
    </row>
    <row r="48">
      <c r="A48" s="2" t="n"/>
      <c r="B48" s="3" t="n"/>
      <c r="C48" s="4">
        <f>IF(B48="","",IFERROR(INDEX(Agencias!$A$2:$A$32,MATCH(B48,Agencias!$B$2:$B$32,0)),"¿Agencia nueva?"))</f>
        <v/>
      </c>
      <c r="D48" s="3" t="n"/>
      <c r="E48" s="3" t="n"/>
      <c r="F48" s="3" t="n"/>
      <c r="G48" s="5" t="n"/>
      <c r="H48" s="6">
        <f>IF(G48="","",Ajustes!$B$2)</f>
        <v/>
      </c>
      <c r="I48" s="7">
        <f>IF(G48="","",ROUND(G48*H48,2))</f>
        <v/>
      </c>
      <c r="J48" s="8">
        <f>IF(A48="","",A48+Ajustes!$B$3)</f>
        <v/>
      </c>
      <c r="K48" s="3" t="n"/>
      <c r="L48" s="2" t="n"/>
      <c r="M48" s="3" t="n"/>
      <c r="N48" s="3" t="n"/>
    </row>
    <row r="49">
      <c r="A49" s="2" t="n"/>
      <c r="B49" s="3" t="n"/>
      <c r="C49" s="4">
        <f>IF(B49="","",IFERROR(INDEX(Agencias!$A$2:$A$32,MATCH(B49,Agencias!$B$2:$B$32,0)),"¿Agencia nueva?"))</f>
        <v/>
      </c>
      <c r="D49" s="3" t="n"/>
      <c r="E49" s="3" t="n"/>
      <c r="F49" s="3" t="n"/>
      <c r="G49" s="5" t="n"/>
      <c r="H49" s="6">
        <f>IF(G49="","",Ajustes!$B$2)</f>
        <v/>
      </c>
      <c r="I49" s="7">
        <f>IF(G49="","",ROUND(G49*H49,2))</f>
        <v/>
      </c>
      <c r="J49" s="8">
        <f>IF(A49="","",A49+Ajustes!$B$3)</f>
        <v/>
      </c>
      <c r="K49" s="3" t="n"/>
      <c r="L49" s="2" t="n"/>
      <c r="M49" s="3" t="n"/>
      <c r="N49" s="3" t="n"/>
    </row>
    <row r="50">
      <c r="A50" s="2" t="n"/>
      <c r="B50" s="3" t="n"/>
      <c r="C50" s="4">
        <f>IF(B50="","",IFERROR(INDEX(Agencias!$A$2:$A$32,MATCH(B50,Agencias!$B$2:$B$32,0)),"¿Agencia nueva?"))</f>
        <v/>
      </c>
      <c r="D50" s="3" t="n"/>
      <c r="E50" s="3" t="n"/>
      <c r="F50" s="3" t="n"/>
      <c r="G50" s="5" t="n"/>
      <c r="H50" s="6">
        <f>IF(G50="","",Ajustes!$B$2)</f>
        <v/>
      </c>
      <c r="I50" s="7">
        <f>IF(G50="","",ROUND(G50*H50,2))</f>
        <v/>
      </c>
      <c r="J50" s="8">
        <f>IF(A50="","",A50+Ajustes!$B$3)</f>
        <v/>
      </c>
      <c r="K50" s="3" t="n"/>
      <c r="L50" s="2" t="n"/>
      <c r="M50" s="3" t="n"/>
      <c r="N50" s="3" t="n"/>
    </row>
    <row r="51">
      <c r="A51" s="2" t="n"/>
      <c r="B51" s="3" t="n"/>
      <c r="C51" s="4">
        <f>IF(B51="","",IFERROR(INDEX(Agencias!$A$2:$A$32,MATCH(B51,Agencias!$B$2:$B$32,0)),"¿Agencia nueva?"))</f>
        <v/>
      </c>
      <c r="D51" s="3" t="n"/>
      <c r="E51" s="3" t="n"/>
      <c r="F51" s="3" t="n"/>
      <c r="G51" s="5" t="n"/>
      <c r="H51" s="6">
        <f>IF(G51="","",Ajustes!$B$2)</f>
        <v/>
      </c>
      <c r="I51" s="7">
        <f>IF(G51="","",ROUND(G51*H51,2))</f>
        <v/>
      </c>
      <c r="J51" s="8">
        <f>IF(A51="","",A51+Ajustes!$B$3)</f>
        <v/>
      </c>
      <c r="K51" s="3" t="n"/>
      <c r="L51" s="2" t="n"/>
      <c r="M51" s="3" t="n"/>
      <c r="N51" s="3" t="n"/>
    </row>
    <row r="52">
      <c r="A52" s="2" t="n"/>
      <c r="B52" s="3" t="n"/>
      <c r="C52" s="4">
        <f>IF(B52="","",IFERROR(INDEX(Agencias!$A$2:$A$32,MATCH(B52,Agencias!$B$2:$B$32,0)),"¿Agencia nueva?"))</f>
        <v/>
      </c>
      <c r="D52" s="3" t="n"/>
      <c r="E52" s="3" t="n"/>
      <c r="F52" s="3" t="n"/>
      <c r="G52" s="5" t="n"/>
      <c r="H52" s="6">
        <f>IF(G52="","",Ajustes!$B$2)</f>
        <v/>
      </c>
      <c r="I52" s="7">
        <f>IF(G52="","",ROUND(G52*H52,2))</f>
        <v/>
      </c>
      <c r="J52" s="8">
        <f>IF(A52="","",A52+Ajustes!$B$3)</f>
        <v/>
      </c>
      <c r="K52" s="3" t="n"/>
      <c r="L52" s="2" t="n"/>
      <c r="M52" s="3" t="n"/>
      <c r="N52" s="3" t="n"/>
    </row>
    <row r="53">
      <c r="A53" s="2" t="n"/>
      <c r="B53" s="3" t="n"/>
      <c r="C53" s="4">
        <f>IF(B53="","",IFERROR(INDEX(Agencias!$A$2:$A$32,MATCH(B53,Agencias!$B$2:$B$32,0)),"¿Agencia nueva?"))</f>
        <v/>
      </c>
      <c r="D53" s="3" t="n"/>
      <c r="E53" s="3" t="n"/>
      <c r="F53" s="3" t="n"/>
      <c r="G53" s="5" t="n"/>
      <c r="H53" s="6">
        <f>IF(G53="","",Ajustes!$B$2)</f>
        <v/>
      </c>
      <c r="I53" s="7">
        <f>IF(G53="","",ROUND(G53*H53,2))</f>
        <v/>
      </c>
      <c r="J53" s="8">
        <f>IF(A53="","",A53+Ajustes!$B$3)</f>
        <v/>
      </c>
      <c r="K53" s="3" t="n"/>
      <c r="L53" s="2" t="n"/>
      <c r="M53" s="3" t="n"/>
      <c r="N53" s="3" t="n"/>
    </row>
    <row r="54">
      <c r="A54" s="2" t="n"/>
      <c r="B54" s="3" t="n"/>
      <c r="C54" s="4">
        <f>IF(B54="","",IFERROR(INDEX(Agencias!$A$2:$A$32,MATCH(B54,Agencias!$B$2:$B$32,0)),"¿Agencia nueva?"))</f>
        <v/>
      </c>
      <c r="D54" s="3" t="n"/>
      <c r="E54" s="3" t="n"/>
      <c r="F54" s="3" t="n"/>
      <c r="G54" s="5" t="n"/>
      <c r="H54" s="6">
        <f>IF(G54="","",Ajustes!$B$2)</f>
        <v/>
      </c>
      <c r="I54" s="7">
        <f>IF(G54="","",ROUND(G54*H54,2))</f>
        <v/>
      </c>
      <c r="J54" s="8">
        <f>IF(A54="","",A54+Ajustes!$B$3)</f>
        <v/>
      </c>
      <c r="K54" s="3" t="n"/>
      <c r="L54" s="2" t="n"/>
      <c r="M54" s="3" t="n"/>
      <c r="N54" s="3" t="n"/>
    </row>
    <row r="55">
      <c r="A55" s="2" t="n"/>
      <c r="B55" s="3" t="n"/>
      <c r="C55" s="4">
        <f>IF(B55="","",IFERROR(INDEX(Agencias!$A$2:$A$32,MATCH(B55,Agencias!$B$2:$B$32,0)),"¿Agencia nueva?"))</f>
        <v/>
      </c>
      <c r="D55" s="3" t="n"/>
      <c r="E55" s="3" t="n"/>
      <c r="F55" s="3" t="n"/>
      <c r="G55" s="5" t="n"/>
      <c r="H55" s="6">
        <f>IF(G55="","",Ajustes!$B$2)</f>
        <v/>
      </c>
      <c r="I55" s="7">
        <f>IF(G55="","",ROUND(G55*H55,2))</f>
        <v/>
      </c>
      <c r="J55" s="8">
        <f>IF(A55="","",A55+Ajustes!$B$3)</f>
        <v/>
      </c>
      <c r="K55" s="3" t="n"/>
      <c r="L55" s="2" t="n"/>
      <c r="M55" s="3" t="n"/>
      <c r="N55" s="3" t="n"/>
    </row>
    <row r="56">
      <c r="A56" s="2" t="n"/>
      <c r="B56" s="3" t="n"/>
      <c r="C56" s="4">
        <f>IF(B56="","",IFERROR(INDEX(Agencias!$A$2:$A$32,MATCH(B56,Agencias!$B$2:$B$32,0)),"¿Agencia nueva?"))</f>
        <v/>
      </c>
      <c r="D56" s="3" t="n"/>
      <c r="E56" s="3" t="n"/>
      <c r="F56" s="3" t="n"/>
      <c r="G56" s="5" t="n"/>
      <c r="H56" s="6">
        <f>IF(G56="","",Ajustes!$B$2)</f>
        <v/>
      </c>
      <c r="I56" s="7">
        <f>IF(G56="","",ROUND(G56*H56,2))</f>
        <v/>
      </c>
      <c r="J56" s="8">
        <f>IF(A56="","",A56+Ajustes!$B$3)</f>
        <v/>
      </c>
      <c r="K56" s="3" t="n"/>
      <c r="L56" s="2" t="n"/>
      <c r="M56" s="3" t="n"/>
      <c r="N56" s="3" t="n"/>
    </row>
    <row r="57">
      <c r="A57" s="2" t="n"/>
      <c r="B57" s="3" t="n"/>
      <c r="C57" s="4">
        <f>IF(B57="","",IFERROR(INDEX(Agencias!$A$2:$A$32,MATCH(B57,Agencias!$B$2:$B$32,0)),"¿Agencia nueva?"))</f>
        <v/>
      </c>
      <c r="D57" s="3" t="n"/>
      <c r="E57" s="3" t="n"/>
      <c r="F57" s="3" t="n"/>
      <c r="G57" s="5" t="n"/>
      <c r="H57" s="6">
        <f>IF(G57="","",Ajustes!$B$2)</f>
        <v/>
      </c>
      <c r="I57" s="7">
        <f>IF(G57="","",ROUND(G57*H57,2))</f>
        <v/>
      </c>
      <c r="J57" s="8">
        <f>IF(A57="","",A57+Ajustes!$B$3)</f>
        <v/>
      </c>
      <c r="K57" s="3" t="n"/>
      <c r="L57" s="2" t="n"/>
      <c r="M57" s="3" t="n"/>
      <c r="N57" s="3" t="n"/>
    </row>
    <row r="58">
      <c r="A58" s="2" t="n"/>
      <c r="B58" s="3" t="n"/>
      <c r="C58" s="4">
        <f>IF(B58="","",IFERROR(INDEX(Agencias!$A$2:$A$32,MATCH(B58,Agencias!$B$2:$B$32,0)),"¿Agencia nueva?"))</f>
        <v/>
      </c>
      <c r="D58" s="3" t="n"/>
      <c r="E58" s="3" t="n"/>
      <c r="F58" s="3" t="n"/>
      <c r="G58" s="5" t="n"/>
      <c r="H58" s="6">
        <f>IF(G58="","",Ajustes!$B$2)</f>
        <v/>
      </c>
      <c r="I58" s="7">
        <f>IF(G58="","",ROUND(G58*H58,2))</f>
        <v/>
      </c>
      <c r="J58" s="8">
        <f>IF(A58="","",A58+Ajustes!$B$3)</f>
        <v/>
      </c>
      <c r="K58" s="3" t="n"/>
      <c r="L58" s="2" t="n"/>
      <c r="M58" s="3" t="n"/>
      <c r="N58" s="3" t="n"/>
    </row>
    <row r="59">
      <c r="A59" s="2" t="n"/>
      <c r="B59" s="3" t="n"/>
      <c r="C59" s="4">
        <f>IF(B59="","",IFERROR(INDEX(Agencias!$A$2:$A$32,MATCH(B59,Agencias!$B$2:$B$32,0)),"¿Agencia nueva?"))</f>
        <v/>
      </c>
      <c r="D59" s="3" t="n"/>
      <c r="E59" s="3" t="n"/>
      <c r="F59" s="3" t="n"/>
      <c r="G59" s="5" t="n"/>
      <c r="H59" s="6">
        <f>IF(G59="","",Ajustes!$B$2)</f>
        <v/>
      </c>
      <c r="I59" s="7">
        <f>IF(G59="","",ROUND(G59*H59,2))</f>
        <v/>
      </c>
      <c r="J59" s="8">
        <f>IF(A59="","",A59+Ajustes!$B$3)</f>
        <v/>
      </c>
      <c r="K59" s="3" t="n"/>
      <c r="L59" s="2" t="n"/>
      <c r="M59" s="3" t="n"/>
      <c r="N59" s="3" t="n"/>
    </row>
    <row r="60">
      <c r="A60" s="2" t="n"/>
      <c r="B60" s="3" t="n"/>
      <c r="C60" s="4">
        <f>IF(B60="","",IFERROR(INDEX(Agencias!$A$2:$A$32,MATCH(B60,Agencias!$B$2:$B$32,0)),"¿Agencia nueva?"))</f>
        <v/>
      </c>
      <c r="D60" s="3" t="n"/>
      <c r="E60" s="3" t="n"/>
      <c r="F60" s="3" t="n"/>
      <c r="G60" s="5" t="n"/>
      <c r="H60" s="6">
        <f>IF(G60="","",Ajustes!$B$2)</f>
        <v/>
      </c>
      <c r="I60" s="7">
        <f>IF(G60="","",ROUND(G60*H60,2))</f>
        <v/>
      </c>
      <c r="J60" s="8">
        <f>IF(A60="","",A60+Ajustes!$B$3)</f>
        <v/>
      </c>
      <c r="K60" s="3" t="n"/>
      <c r="L60" s="2" t="n"/>
      <c r="M60" s="3" t="n"/>
      <c r="N60" s="3" t="n"/>
    </row>
    <row r="61">
      <c r="A61" s="2" t="n"/>
      <c r="B61" s="3" t="n"/>
      <c r="C61" s="4">
        <f>IF(B61="","",IFERROR(INDEX(Agencias!$A$2:$A$32,MATCH(B61,Agencias!$B$2:$B$32,0)),"¿Agencia nueva?"))</f>
        <v/>
      </c>
      <c r="D61" s="3" t="n"/>
      <c r="E61" s="3" t="n"/>
      <c r="F61" s="3" t="n"/>
      <c r="G61" s="5" t="n"/>
      <c r="H61" s="6">
        <f>IF(G61="","",Ajustes!$B$2)</f>
        <v/>
      </c>
      <c r="I61" s="7">
        <f>IF(G61="","",ROUND(G61*H61,2))</f>
        <v/>
      </c>
      <c r="J61" s="8">
        <f>IF(A61="","",A61+Ajustes!$B$3)</f>
        <v/>
      </c>
      <c r="K61" s="3" t="n"/>
      <c r="L61" s="2" t="n"/>
      <c r="M61" s="3" t="n"/>
      <c r="N61" s="3" t="n"/>
    </row>
    <row r="62">
      <c r="A62" s="2" t="n"/>
      <c r="B62" s="3" t="n"/>
      <c r="C62" s="4">
        <f>IF(B62="","",IFERROR(INDEX(Agencias!$A$2:$A$32,MATCH(B62,Agencias!$B$2:$B$32,0)),"¿Agencia nueva?"))</f>
        <v/>
      </c>
      <c r="D62" s="3" t="n"/>
      <c r="E62" s="3" t="n"/>
      <c r="F62" s="3" t="n"/>
      <c r="G62" s="5" t="n"/>
      <c r="H62" s="6">
        <f>IF(G62="","",Ajustes!$B$2)</f>
        <v/>
      </c>
      <c r="I62" s="7">
        <f>IF(G62="","",ROUND(G62*H62,2))</f>
        <v/>
      </c>
      <c r="J62" s="8">
        <f>IF(A62="","",A62+Ajustes!$B$3)</f>
        <v/>
      </c>
      <c r="K62" s="3" t="n"/>
      <c r="L62" s="2" t="n"/>
      <c r="M62" s="3" t="n"/>
      <c r="N62" s="3" t="n"/>
    </row>
    <row r="63">
      <c r="A63" s="2" t="n"/>
      <c r="B63" s="3" t="n"/>
      <c r="C63" s="4">
        <f>IF(B63="","",IFERROR(INDEX(Agencias!$A$2:$A$32,MATCH(B63,Agencias!$B$2:$B$32,0)),"¿Agencia nueva?"))</f>
        <v/>
      </c>
      <c r="D63" s="3" t="n"/>
      <c r="E63" s="3" t="n"/>
      <c r="F63" s="3" t="n"/>
      <c r="G63" s="5" t="n"/>
      <c r="H63" s="6">
        <f>IF(G63="","",Ajustes!$B$2)</f>
        <v/>
      </c>
      <c r="I63" s="7">
        <f>IF(G63="","",ROUND(G63*H63,2))</f>
        <v/>
      </c>
      <c r="J63" s="8">
        <f>IF(A63="","",A63+Ajustes!$B$3)</f>
        <v/>
      </c>
      <c r="K63" s="3" t="n"/>
      <c r="L63" s="2" t="n"/>
      <c r="M63" s="3" t="n"/>
      <c r="N63" s="3" t="n"/>
    </row>
    <row r="64">
      <c r="A64" s="2" t="n"/>
      <c r="B64" s="3" t="n"/>
      <c r="C64" s="4">
        <f>IF(B64="","",IFERROR(INDEX(Agencias!$A$2:$A$32,MATCH(B64,Agencias!$B$2:$B$32,0)),"¿Agencia nueva?"))</f>
        <v/>
      </c>
      <c r="D64" s="3" t="n"/>
      <c r="E64" s="3" t="n"/>
      <c r="F64" s="3" t="n"/>
      <c r="G64" s="5" t="n"/>
      <c r="H64" s="6">
        <f>IF(G64="","",Ajustes!$B$2)</f>
        <v/>
      </c>
      <c r="I64" s="7">
        <f>IF(G64="","",ROUND(G64*H64,2))</f>
        <v/>
      </c>
      <c r="J64" s="8">
        <f>IF(A64="","",A64+Ajustes!$B$3)</f>
        <v/>
      </c>
      <c r="K64" s="3" t="n"/>
      <c r="L64" s="2" t="n"/>
      <c r="M64" s="3" t="n"/>
      <c r="N64" s="3" t="n"/>
    </row>
    <row r="65">
      <c r="A65" s="2" t="n"/>
      <c r="B65" s="3" t="n"/>
      <c r="C65" s="4">
        <f>IF(B65="","",IFERROR(INDEX(Agencias!$A$2:$A$32,MATCH(B65,Agencias!$B$2:$B$32,0)),"¿Agencia nueva?"))</f>
        <v/>
      </c>
      <c r="D65" s="3" t="n"/>
      <c r="E65" s="3" t="n"/>
      <c r="F65" s="3" t="n"/>
      <c r="G65" s="5" t="n"/>
      <c r="H65" s="6">
        <f>IF(G65="","",Ajustes!$B$2)</f>
        <v/>
      </c>
      <c r="I65" s="7">
        <f>IF(G65="","",ROUND(G65*H65,2))</f>
        <v/>
      </c>
      <c r="J65" s="8">
        <f>IF(A65="","",A65+Ajustes!$B$3)</f>
        <v/>
      </c>
      <c r="K65" s="3" t="n"/>
      <c r="L65" s="2" t="n"/>
      <c r="M65" s="3" t="n"/>
      <c r="N65" s="3" t="n"/>
    </row>
    <row r="66">
      <c r="A66" s="2" t="n"/>
      <c r="B66" s="3" t="n"/>
      <c r="C66" s="4">
        <f>IF(B66="","",IFERROR(INDEX(Agencias!$A$2:$A$32,MATCH(B66,Agencias!$B$2:$B$32,0)),"¿Agencia nueva?"))</f>
        <v/>
      </c>
      <c r="D66" s="3" t="n"/>
      <c r="E66" s="3" t="n"/>
      <c r="F66" s="3" t="n"/>
      <c r="G66" s="5" t="n"/>
      <c r="H66" s="6">
        <f>IF(G66="","",Ajustes!$B$2)</f>
        <v/>
      </c>
      <c r="I66" s="7">
        <f>IF(G66="","",ROUND(G66*H66,2))</f>
        <v/>
      </c>
      <c r="J66" s="8">
        <f>IF(A66="","",A66+Ajustes!$B$3)</f>
        <v/>
      </c>
      <c r="K66" s="3" t="n"/>
      <c r="L66" s="2" t="n"/>
      <c r="M66" s="3" t="n"/>
      <c r="N66" s="3" t="n"/>
    </row>
    <row r="67">
      <c r="A67" s="2" t="n"/>
      <c r="B67" s="3" t="n"/>
      <c r="C67" s="4">
        <f>IF(B67="","",IFERROR(INDEX(Agencias!$A$2:$A$32,MATCH(B67,Agencias!$B$2:$B$32,0)),"¿Agencia nueva?"))</f>
        <v/>
      </c>
      <c r="D67" s="3" t="n"/>
      <c r="E67" s="3" t="n"/>
      <c r="F67" s="3" t="n"/>
      <c r="G67" s="5" t="n"/>
      <c r="H67" s="6">
        <f>IF(G67="","",Ajustes!$B$2)</f>
        <v/>
      </c>
      <c r="I67" s="7">
        <f>IF(G67="","",ROUND(G67*H67,2))</f>
        <v/>
      </c>
      <c r="J67" s="8">
        <f>IF(A67="","",A67+Ajustes!$B$3)</f>
        <v/>
      </c>
      <c r="K67" s="3" t="n"/>
      <c r="L67" s="2" t="n"/>
      <c r="M67" s="3" t="n"/>
      <c r="N67" s="3" t="n"/>
    </row>
    <row r="68">
      <c r="A68" s="2" t="n"/>
      <c r="B68" s="3" t="n"/>
      <c r="C68" s="4">
        <f>IF(B68="","",IFERROR(INDEX(Agencias!$A$2:$A$32,MATCH(B68,Agencias!$B$2:$B$32,0)),"¿Agencia nueva?"))</f>
        <v/>
      </c>
      <c r="D68" s="3" t="n"/>
      <c r="E68" s="3" t="n"/>
      <c r="F68" s="3" t="n"/>
      <c r="G68" s="5" t="n"/>
      <c r="H68" s="6">
        <f>IF(G68="","",Ajustes!$B$2)</f>
        <v/>
      </c>
      <c r="I68" s="7">
        <f>IF(G68="","",ROUND(G68*H68,2))</f>
        <v/>
      </c>
      <c r="J68" s="8">
        <f>IF(A68="","",A68+Ajustes!$B$3)</f>
        <v/>
      </c>
      <c r="K68" s="3" t="n"/>
      <c r="L68" s="2" t="n"/>
      <c r="M68" s="3" t="n"/>
      <c r="N68" s="3" t="n"/>
    </row>
    <row r="69">
      <c r="A69" s="2" t="n"/>
      <c r="B69" s="3" t="n"/>
      <c r="C69" s="4">
        <f>IF(B69="","",IFERROR(INDEX(Agencias!$A$2:$A$32,MATCH(B69,Agencias!$B$2:$B$32,0)),"¿Agencia nueva?"))</f>
        <v/>
      </c>
      <c r="D69" s="3" t="n"/>
      <c r="E69" s="3" t="n"/>
      <c r="F69" s="3" t="n"/>
      <c r="G69" s="5" t="n"/>
      <c r="H69" s="6">
        <f>IF(G69="","",Ajustes!$B$2)</f>
        <v/>
      </c>
      <c r="I69" s="7">
        <f>IF(G69="","",ROUND(G69*H69,2))</f>
        <v/>
      </c>
      <c r="J69" s="8">
        <f>IF(A69="","",A69+Ajustes!$B$3)</f>
        <v/>
      </c>
      <c r="K69" s="3" t="n"/>
      <c r="L69" s="2" t="n"/>
      <c r="M69" s="3" t="n"/>
      <c r="N69" s="3" t="n"/>
    </row>
    <row r="70">
      <c r="A70" s="2" t="n"/>
      <c r="B70" s="3" t="n"/>
      <c r="C70" s="4">
        <f>IF(B70="","",IFERROR(INDEX(Agencias!$A$2:$A$32,MATCH(B70,Agencias!$B$2:$B$32,0)),"¿Agencia nueva?"))</f>
        <v/>
      </c>
      <c r="D70" s="3" t="n"/>
      <c r="E70" s="3" t="n"/>
      <c r="F70" s="3" t="n"/>
      <c r="G70" s="5" t="n"/>
      <c r="H70" s="6">
        <f>IF(G70="","",Ajustes!$B$2)</f>
        <v/>
      </c>
      <c r="I70" s="7">
        <f>IF(G70="","",ROUND(G70*H70,2))</f>
        <v/>
      </c>
      <c r="J70" s="8">
        <f>IF(A70="","",A70+Ajustes!$B$3)</f>
        <v/>
      </c>
      <c r="K70" s="3" t="n"/>
      <c r="L70" s="2" t="n"/>
      <c r="M70" s="3" t="n"/>
      <c r="N70" s="3" t="n"/>
    </row>
    <row r="71">
      <c r="A71" s="2" t="n"/>
      <c r="B71" s="3" t="n"/>
      <c r="C71" s="4">
        <f>IF(B71="","",IFERROR(INDEX(Agencias!$A$2:$A$32,MATCH(B71,Agencias!$B$2:$B$32,0)),"¿Agencia nueva?"))</f>
        <v/>
      </c>
      <c r="D71" s="3" t="n"/>
      <c r="E71" s="3" t="n"/>
      <c r="F71" s="3" t="n"/>
      <c r="G71" s="5" t="n"/>
      <c r="H71" s="6">
        <f>IF(G71="","",Ajustes!$B$2)</f>
        <v/>
      </c>
      <c r="I71" s="7">
        <f>IF(G71="","",ROUND(G71*H71,2))</f>
        <v/>
      </c>
      <c r="J71" s="8">
        <f>IF(A71="","",A71+Ajustes!$B$3)</f>
        <v/>
      </c>
      <c r="K71" s="3" t="n"/>
      <c r="L71" s="2" t="n"/>
      <c r="M71" s="3" t="n"/>
      <c r="N71" s="3" t="n"/>
    </row>
    <row r="72">
      <c r="A72" s="2" t="n"/>
      <c r="B72" s="3" t="n"/>
      <c r="C72" s="4">
        <f>IF(B72="","",IFERROR(INDEX(Agencias!$A$2:$A$32,MATCH(B72,Agencias!$B$2:$B$32,0)),"¿Agencia nueva?"))</f>
        <v/>
      </c>
      <c r="D72" s="3" t="n"/>
      <c r="E72" s="3" t="n"/>
      <c r="F72" s="3" t="n"/>
      <c r="G72" s="5" t="n"/>
      <c r="H72" s="6">
        <f>IF(G72="","",Ajustes!$B$2)</f>
        <v/>
      </c>
      <c r="I72" s="7">
        <f>IF(G72="","",ROUND(G72*H72,2))</f>
        <v/>
      </c>
      <c r="J72" s="8">
        <f>IF(A72="","",A72+Ajustes!$B$3)</f>
        <v/>
      </c>
      <c r="K72" s="3" t="n"/>
      <c r="L72" s="2" t="n"/>
      <c r="M72" s="3" t="n"/>
      <c r="N72" s="3" t="n"/>
    </row>
    <row r="73">
      <c r="A73" s="2" t="n"/>
      <c r="B73" s="3" t="n"/>
      <c r="C73" s="4">
        <f>IF(B73="","",IFERROR(INDEX(Agencias!$A$2:$A$32,MATCH(B73,Agencias!$B$2:$B$32,0)),"¿Agencia nueva?"))</f>
        <v/>
      </c>
      <c r="D73" s="3" t="n"/>
      <c r="E73" s="3" t="n"/>
      <c r="F73" s="3" t="n"/>
      <c r="G73" s="5" t="n"/>
      <c r="H73" s="6">
        <f>IF(G73="","",Ajustes!$B$2)</f>
        <v/>
      </c>
      <c r="I73" s="7">
        <f>IF(G73="","",ROUND(G73*H73,2))</f>
        <v/>
      </c>
      <c r="J73" s="8">
        <f>IF(A73="","",A73+Ajustes!$B$3)</f>
        <v/>
      </c>
      <c r="K73" s="3" t="n"/>
      <c r="L73" s="2" t="n"/>
      <c r="M73" s="3" t="n"/>
      <c r="N73" s="3" t="n"/>
    </row>
    <row r="74">
      <c r="A74" s="2" t="n"/>
      <c r="B74" s="3" t="n"/>
      <c r="C74" s="4">
        <f>IF(B74="","",IFERROR(INDEX(Agencias!$A$2:$A$32,MATCH(B74,Agencias!$B$2:$B$32,0)),"¿Agencia nueva?"))</f>
        <v/>
      </c>
      <c r="D74" s="3" t="n"/>
      <c r="E74" s="3" t="n"/>
      <c r="F74" s="3" t="n"/>
      <c r="G74" s="5" t="n"/>
      <c r="H74" s="6">
        <f>IF(G74="","",Ajustes!$B$2)</f>
        <v/>
      </c>
      <c r="I74" s="7">
        <f>IF(G74="","",ROUND(G74*H74,2))</f>
        <v/>
      </c>
      <c r="J74" s="8">
        <f>IF(A74="","",A74+Ajustes!$B$3)</f>
        <v/>
      </c>
      <c r="K74" s="3" t="n"/>
      <c r="L74" s="2" t="n"/>
      <c r="M74" s="3" t="n"/>
      <c r="N74" s="3" t="n"/>
    </row>
    <row r="75">
      <c r="A75" s="2" t="n"/>
      <c r="B75" s="3" t="n"/>
      <c r="C75" s="4">
        <f>IF(B75="","",IFERROR(INDEX(Agencias!$A$2:$A$32,MATCH(B75,Agencias!$B$2:$B$32,0)),"¿Agencia nueva?"))</f>
        <v/>
      </c>
      <c r="D75" s="3" t="n"/>
      <c r="E75" s="3" t="n"/>
      <c r="F75" s="3" t="n"/>
      <c r="G75" s="5" t="n"/>
      <c r="H75" s="6">
        <f>IF(G75="","",Ajustes!$B$2)</f>
        <v/>
      </c>
      <c r="I75" s="7">
        <f>IF(G75="","",ROUND(G75*H75,2))</f>
        <v/>
      </c>
      <c r="J75" s="8">
        <f>IF(A75="","",A75+Ajustes!$B$3)</f>
        <v/>
      </c>
      <c r="K75" s="3" t="n"/>
      <c r="L75" s="2" t="n"/>
      <c r="M75" s="3" t="n"/>
      <c r="N75" s="3" t="n"/>
    </row>
    <row r="76">
      <c r="A76" s="2" t="n"/>
      <c r="B76" s="3" t="n"/>
      <c r="C76" s="4">
        <f>IF(B76="","",IFERROR(INDEX(Agencias!$A$2:$A$32,MATCH(B76,Agencias!$B$2:$B$32,0)),"¿Agencia nueva?"))</f>
        <v/>
      </c>
      <c r="D76" s="3" t="n"/>
      <c r="E76" s="3" t="n"/>
      <c r="F76" s="3" t="n"/>
      <c r="G76" s="5" t="n"/>
      <c r="H76" s="6">
        <f>IF(G76="","",Ajustes!$B$2)</f>
        <v/>
      </c>
      <c r="I76" s="7">
        <f>IF(G76="","",ROUND(G76*H76,2))</f>
        <v/>
      </c>
      <c r="J76" s="8">
        <f>IF(A76="","",A76+Ajustes!$B$3)</f>
        <v/>
      </c>
      <c r="K76" s="3" t="n"/>
      <c r="L76" s="2" t="n"/>
      <c r="M76" s="3" t="n"/>
      <c r="N76" s="3" t="n"/>
    </row>
    <row r="77">
      <c r="A77" s="2" t="n"/>
      <c r="B77" s="3" t="n"/>
      <c r="C77" s="4">
        <f>IF(B77="","",IFERROR(INDEX(Agencias!$A$2:$A$32,MATCH(B77,Agencias!$B$2:$B$32,0)),"¿Agencia nueva?"))</f>
        <v/>
      </c>
      <c r="D77" s="3" t="n"/>
      <c r="E77" s="3" t="n"/>
      <c r="F77" s="3" t="n"/>
      <c r="G77" s="5" t="n"/>
      <c r="H77" s="6">
        <f>IF(G77="","",Ajustes!$B$2)</f>
        <v/>
      </c>
      <c r="I77" s="7">
        <f>IF(G77="","",ROUND(G77*H77,2))</f>
        <v/>
      </c>
      <c r="J77" s="8">
        <f>IF(A77="","",A77+Ajustes!$B$3)</f>
        <v/>
      </c>
      <c r="K77" s="3" t="n"/>
      <c r="L77" s="2" t="n"/>
      <c r="M77" s="3" t="n"/>
      <c r="N77" s="3" t="n"/>
    </row>
    <row r="78">
      <c r="A78" s="2" t="n"/>
      <c r="B78" s="3" t="n"/>
      <c r="C78" s="4">
        <f>IF(B78="","",IFERROR(INDEX(Agencias!$A$2:$A$32,MATCH(B78,Agencias!$B$2:$B$32,0)),"¿Agencia nueva?"))</f>
        <v/>
      </c>
      <c r="D78" s="3" t="n"/>
      <c r="E78" s="3" t="n"/>
      <c r="F78" s="3" t="n"/>
      <c r="G78" s="5" t="n"/>
      <c r="H78" s="6">
        <f>IF(G78="","",Ajustes!$B$2)</f>
        <v/>
      </c>
      <c r="I78" s="7">
        <f>IF(G78="","",ROUND(G78*H78,2))</f>
        <v/>
      </c>
      <c r="J78" s="8">
        <f>IF(A78="","",A78+Ajustes!$B$3)</f>
        <v/>
      </c>
      <c r="K78" s="3" t="n"/>
      <c r="L78" s="2" t="n"/>
      <c r="M78" s="3" t="n"/>
      <c r="N78" s="3" t="n"/>
    </row>
    <row r="79">
      <c r="A79" s="2" t="n"/>
      <c r="B79" s="3" t="n"/>
      <c r="C79" s="4">
        <f>IF(B79="","",IFERROR(INDEX(Agencias!$A$2:$A$32,MATCH(B79,Agencias!$B$2:$B$32,0)),"¿Agencia nueva?"))</f>
        <v/>
      </c>
      <c r="D79" s="3" t="n"/>
      <c r="E79" s="3" t="n"/>
      <c r="F79" s="3" t="n"/>
      <c r="G79" s="5" t="n"/>
      <c r="H79" s="6">
        <f>IF(G79="","",Ajustes!$B$2)</f>
        <v/>
      </c>
      <c r="I79" s="7">
        <f>IF(G79="","",ROUND(G79*H79,2))</f>
        <v/>
      </c>
      <c r="J79" s="8">
        <f>IF(A79="","",A79+Ajustes!$B$3)</f>
        <v/>
      </c>
      <c r="K79" s="3" t="n"/>
      <c r="L79" s="2" t="n"/>
      <c r="M79" s="3" t="n"/>
      <c r="N79" s="3" t="n"/>
    </row>
    <row r="80">
      <c r="A80" s="2" t="n"/>
      <c r="B80" s="3" t="n"/>
      <c r="C80" s="4">
        <f>IF(B80="","",IFERROR(INDEX(Agencias!$A$2:$A$32,MATCH(B80,Agencias!$B$2:$B$32,0)),"¿Agencia nueva?"))</f>
        <v/>
      </c>
      <c r="D80" s="3" t="n"/>
      <c r="E80" s="3" t="n"/>
      <c r="F80" s="3" t="n"/>
      <c r="G80" s="5" t="n"/>
      <c r="H80" s="6">
        <f>IF(G80="","",Ajustes!$B$2)</f>
        <v/>
      </c>
      <c r="I80" s="7">
        <f>IF(G80="","",ROUND(G80*H80,2))</f>
        <v/>
      </c>
      <c r="J80" s="8">
        <f>IF(A80="","",A80+Ajustes!$B$3)</f>
        <v/>
      </c>
      <c r="K80" s="3" t="n"/>
      <c r="L80" s="2" t="n"/>
      <c r="M80" s="3" t="n"/>
      <c r="N80" s="3" t="n"/>
    </row>
    <row r="81">
      <c r="A81" s="2" t="n"/>
      <c r="B81" s="3" t="n"/>
      <c r="C81" s="4">
        <f>IF(B81="","",IFERROR(INDEX(Agencias!$A$2:$A$32,MATCH(B81,Agencias!$B$2:$B$32,0)),"¿Agencia nueva?"))</f>
        <v/>
      </c>
      <c r="D81" s="3" t="n"/>
      <c r="E81" s="3" t="n"/>
      <c r="F81" s="3" t="n"/>
      <c r="G81" s="5" t="n"/>
      <c r="H81" s="6">
        <f>IF(G81="","",Ajustes!$B$2)</f>
        <v/>
      </c>
      <c r="I81" s="7">
        <f>IF(G81="","",ROUND(G81*H81,2))</f>
        <v/>
      </c>
      <c r="J81" s="8">
        <f>IF(A81="","",A81+Ajustes!$B$3)</f>
        <v/>
      </c>
      <c r="K81" s="3" t="n"/>
      <c r="L81" s="2" t="n"/>
      <c r="M81" s="3" t="n"/>
      <c r="N81" s="3" t="n"/>
    </row>
    <row r="82">
      <c r="A82" s="2" t="n"/>
      <c r="B82" s="3" t="n"/>
      <c r="C82" s="4">
        <f>IF(B82="","",IFERROR(INDEX(Agencias!$A$2:$A$32,MATCH(B82,Agencias!$B$2:$B$32,0)),"¿Agencia nueva?"))</f>
        <v/>
      </c>
      <c r="D82" s="3" t="n"/>
      <c r="E82" s="3" t="n"/>
      <c r="F82" s="3" t="n"/>
      <c r="G82" s="5" t="n"/>
      <c r="H82" s="6">
        <f>IF(G82="","",Ajustes!$B$2)</f>
        <v/>
      </c>
      <c r="I82" s="7">
        <f>IF(G82="","",ROUND(G82*H82,2))</f>
        <v/>
      </c>
      <c r="J82" s="8">
        <f>IF(A82="","",A82+Ajustes!$B$3)</f>
        <v/>
      </c>
      <c r="K82" s="3" t="n"/>
      <c r="L82" s="2" t="n"/>
      <c r="M82" s="3" t="n"/>
      <c r="N82" s="3" t="n"/>
    </row>
    <row r="83">
      <c r="A83" s="2" t="n"/>
      <c r="B83" s="3" t="n"/>
      <c r="C83" s="4">
        <f>IF(B83="","",IFERROR(INDEX(Agencias!$A$2:$A$32,MATCH(B83,Agencias!$B$2:$B$32,0)),"¿Agencia nueva?"))</f>
        <v/>
      </c>
      <c r="D83" s="3" t="n"/>
      <c r="E83" s="3" t="n"/>
      <c r="F83" s="3" t="n"/>
      <c r="G83" s="5" t="n"/>
      <c r="H83" s="6">
        <f>IF(G83="","",Ajustes!$B$2)</f>
        <v/>
      </c>
      <c r="I83" s="7">
        <f>IF(G83="","",ROUND(G83*H83,2))</f>
        <v/>
      </c>
      <c r="J83" s="8">
        <f>IF(A83="","",A83+Ajustes!$B$3)</f>
        <v/>
      </c>
      <c r="K83" s="3" t="n"/>
      <c r="L83" s="2" t="n"/>
      <c r="M83" s="3" t="n"/>
      <c r="N83" s="3" t="n"/>
    </row>
    <row r="84">
      <c r="A84" s="2" t="n"/>
      <c r="B84" s="3" t="n"/>
      <c r="C84" s="4">
        <f>IF(B84="","",IFERROR(INDEX(Agencias!$A$2:$A$32,MATCH(B84,Agencias!$B$2:$B$32,0)),"¿Agencia nueva?"))</f>
        <v/>
      </c>
      <c r="D84" s="3" t="n"/>
      <c r="E84" s="3" t="n"/>
      <c r="F84" s="3" t="n"/>
      <c r="G84" s="5" t="n"/>
      <c r="H84" s="6">
        <f>IF(G84="","",Ajustes!$B$2)</f>
        <v/>
      </c>
      <c r="I84" s="7">
        <f>IF(G84="","",ROUND(G84*H84,2))</f>
        <v/>
      </c>
      <c r="J84" s="8">
        <f>IF(A84="","",A84+Ajustes!$B$3)</f>
        <v/>
      </c>
      <c r="K84" s="3" t="n"/>
      <c r="L84" s="2" t="n"/>
      <c r="M84" s="3" t="n"/>
      <c r="N84" s="3" t="n"/>
    </row>
    <row r="85">
      <c r="A85" s="2" t="n"/>
      <c r="B85" s="3" t="n"/>
      <c r="C85" s="4">
        <f>IF(B85="","",IFERROR(INDEX(Agencias!$A$2:$A$32,MATCH(B85,Agencias!$B$2:$B$32,0)),"¿Agencia nueva?"))</f>
        <v/>
      </c>
      <c r="D85" s="3" t="n"/>
      <c r="E85" s="3" t="n"/>
      <c r="F85" s="3" t="n"/>
      <c r="G85" s="5" t="n"/>
      <c r="H85" s="6">
        <f>IF(G85="","",Ajustes!$B$2)</f>
        <v/>
      </c>
      <c r="I85" s="7">
        <f>IF(G85="","",ROUND(G85*H85,2))</f>
        <v/>
      </c>
      <c r="J85" s="8">
        <f>IF(A85="","",A85+Ajustes!$B$3)</f>
        <v/>
      </c>
      <c r="K85" s="3" t="n"/>
      <c r="L85" s="2" t="n"/>
      <c r="M85" s="3" t="n"/>
      <c r="N85" s="3" t="n"/>
    </row>
    <row r="86">
      <c r="A86" s="2" t="n"/>
      <c r="B86" s="3" t="n"/>
      <c r="C86" s="4">
        <f>IF(B86="","",IFERROR(INDEX(Agencias!$A$2:$A$32,MATCH(B86,Agencias!$B$2:$B$32,0)),"¿Agencia nueva?"))</f>
        <v/>
      </c>
      <c r="D86" s="3" t="n"/>
      <c r="E86" s="3" t="n"/>
      <c r="F86" s="3" t="n"/>
      <c r="G86" s="5" t="n"/>
      <c r="H86" s="6">
        <f>IF(G86="","",Ajustes!$B$2)</f>
        <v/>
      </c>
      <c r="I86" s="7">
        <f>IF(G86="","",ROUND(G86*H86,2))</f>
        <v/>
      </c>
      <c r="J86" s="8">
        <f>IF(A86="","",A86+Ajustes!$B$3)</f>
        <v/>
      </c>
      <c r="K86" s="3" t="n"/>
      <c r="L86" s="2" t="n"/>
      <c r="M86" s="3" t="n"/>
      <c r="N86" s="3" t="n"/>
    </row>
    <row r="87">
      <c r="A87" s="2" t="n"/>
      <c r="B87" s="3" t="n"/>
      <c r="C87" s="4">
        <f>IF(B87="","",IFERROR(INDEX(Agencias!$A$2:$A$32,MATCH(B87,Agencias!$B$2:$B$32,0)),"¿Agencia nueva?"))</f>
        <v/>
      </c>
      <c r="D87" s="3" t="n"/>
      <c r="E87" s="3" t="n"/>
      <c r="F87" s="3" t="n"/>
      <c r="G87" s="5" t="n"/>
      <c r="H87" s="6">
        <f>IF(G87="","",Ajustes!$B$2)</f>
        <v/>
      </c>
      <c r="I87" s="7">
        <f>IF(G87="","",ROUND(G87*H87,2))</f>
        <v/>
      </c>
      <c r="J87" s="8">
        <f>IF(A87="","",A87+Ajustes!$B$3)</f>
        <v/>
      </c>
      <c r="K87" s="3" t="n"/>
      <c r="L87" s="2" t="n"/>
      <c r="M87" s="3" t="n"/>
      <c r="N87" s="3" t="n"/>
    </row>
    <row r="88">
      <c r="A88" s="2" t="n"/>
      <c r="B88" s="3" t="n"/>
      <c r="C88" s="4">
        <f>IF(B88="","",IFERROR(INDEX(Agencias!$A$2:$A$32,MATCH(B88,Agencias!$B$2:$B$32,0)),"¿Agencia nueva?"))</f>
        <v/>
      </c>
      <c r="D88" s="3" t="n"/>
      <c r="E88" s="3" t="n"/>
      <c r="F88" s="3" t="n"/>
      <c r="G88" s="5" t="n"/>
      <c r="H88" s="6">
        <f>IF(G88="","",Ajustes!$B$2)</f>
        <v/>
      </c>
      <c r="I88" s="7">
        <f>IF(G88="","",ROUND(G88*H88,2))</f>
        <v/>
      </c>
      <c r="J88" s="8">
        <f>IF(A88="","",A88+Ajustes!$B$3)</f>
        <v/>
      </c>
      <c r="K88" s="3" t="n"/>
      <c r="L88" s="2" t="n"/>
      <c r="M88" s="3" t="n"/>
      <c r="N88" s="3" t="n"/>
    </row>
    <row r="89">
      <c r="A89" s="2" t="n"/>
      <c r="B89" s="3" t="n"/>
      <c r="C89" s="4">
        <f>IF(B89="","",IFERROR(INDEX(Agencias!$A$2:$A$32,MATCH(B89,Agencias!$B$2:$B$32,0)),"¿Agencia nueva?"))</f>
        <v/>
      </c>
      <c r="D89" s="3" t="n"/>
      <c r="E89" s="3" t="n"/>
      <c r="F89" s="3" t="n"/>
      <c r="G89" s="5" t="n"/>
      <c r="H89" s="6">
        <f>IF(G89="","",Ajustes!$B$2)</f>
        <v/>
      </c>
      <c r="I89" s="7">
        <f>IF(G89="","",ROUND(G89*H89,2))</f>
        <v/>
      </c>
      <c r="J89" s="8">
        <f>IF(A89="","",A89+Ajustes!$B$3)</f>
        <v/>
      </c>
      <c r="K89" s="3" t="n"/>
      <c r="L89" s="2" t="n"/>
      <c r="M89" s="3" t="n"/>
      <c r="N89" s="3" t="n"/>
    </row>
    <row r="90">
      <c r="A90" s="2" t="n"/>
      <c r="B90" s="3" t="n"/>
      <c r="C90" s="4">
        <f>IF(B90="","",IFERROR(INDEX(Agencias!$A$2:$A$32,MATCH(B90,Agencias!$B$2:$B$32,0)),"¿Agencia nueva?"))</f>
        <v/>
      </c>
      <c r="D90" s="3" t="n"/>
      <c r="E90" s="3" t="n"/>
      <c r="F90" s="3" t="n"/>
      <c r="G90" s="5" t="n"/>
      <c r="H90" s="6">
        <f>IF(G90="","",Ajustes!$B$2)</f>
        <v/>
      </c>
      <c r="I90" s="7">
        <f>IF(G90="","",ROUND(G90*H90,2))</f>
        <v/>
      </c>
      <c r="J90" s="8">
        <f>IF(A90="","",A90+Ajustes!$B$3)</f>
        <v/>
      </c>
      <c r="K90" s="3" t="n"/>
      <c r="L90" s="2" t="n"/>
      <c r="M90" s="3" t="n"/>
      <c r="N90" s="3" t="n"/>
    </row>
    <row r="91">
      <c r="A91" s="2" t="n"/>
      <c r="B91" s="3" t="n"/>
      <c r="C91" s="4">
        <f>IF(B91="","",IFERROR(INDEX(Agencias!$A$2:$A$32,MATCH(B91,Agencias!$B$2:$B$32,0)),"¿Agencia nueva?"))</f>
        <v/>
      </c>
      <c r="D91" s="3" t="n"/>
      <c r="E91" s="3" t="n"/>
      <c r="F91" s="3" t="n"/>
      <c r="G91" s="5" t="n"/>
      <c r="H91" s="6">
        <f>IF(G91="","",Ajustes!$B$2)</f>
        <v/>
      </c>
      <c r="I91" s="7">
        <f>IF(G91="","",ROUND(G91*H91,2))</f>
        <v/>
      </c>
      <c r="J91" s="8">
        <f>IF(A91="","",A91+Ajustes!$B$3)</f>
        <v/>
      </c>
      <c r="K91" s="3" t="n"/>
      <c r="L91" s="2" t="n"/>
      <c r="M91" s="3" t="n"/>
      <c r="N91" s="3" t="n"/>
    </row>
    <row r="92">
      <c r="A92" s="2" t="n"/>
      <c r="B92" s="3" t="n"/>
      <c r="C92" s="4">
        <f>IF(B92="","",IFERROR(INDEX(Agencias!$A$2:$A$32,MATCH(B92,Agencias!$B$2:$B$32,0)),"¿Agencia nueva?"))</f>
        <v/>
      </c>
      <c r="D92" s="3" t="n"/>
      <c r="E92" s="3" t="n"/>
      <c r="F92" s="3" t="n"/>
      <c r="G92" s="5" t="n"/>
      <c r="H92" s="6">
        <f>IF(G92="","",Ajustes!$B$2)</f>
        <v/>
      </c>
      <c r="I92" s="7">
        <f>IF(G92="","",ROUND(G92*H92,2))</f>
        <v/>
      </c>
      <c r="J92" s="8">
        <f>IF(A92="","",A92+Ajustes!$B$3)</f>
        <v/>
      </c>
      <c r="K92" s="3" t="n"/>
      <c r="L92" s="2" t="n"/>
      <c r="M92" s="3" t="n"/>
      <c r="N92" s="3" t="n"/>
    </row>
    <row r="93">
      <c r="A93" s="2" t="n"/>
      <c r="B93" s="3" t="n"/>
      <c r="C93" s="4">
        <f>IF(B93="","",IFERROR(INDEX(Agencias!$A$2:$A$32,MATCH(B93,Agencias!$B$2:$B$32,0)),"¿Agencia nueva?"))</f>
        <v/>
      </c>
      <c r="D93" s="3" t="n"/>
      <c r="E93" s="3" t="n"/>
      <c r="F93" s="3" t="n"/>
      <c r="G93" s="5" t="n"/>
      <c r="H93" s="6">
        <f>IF(G93="","",Ajustes!$B$2)</f>
        <v/>
      </c>
      <c r="I93" s="7">
        <f>IF(G93="","",ROUND(G93*H93,2))</f>
        <v/>
      </c>
      <c r="J93" s="8">
        <f>IF(A93="","",A93+Ajustes!$B$3)</f>
        <v/>
      </c>
      <c r="K93" s="3" t="n"/>
      <c r="L93" s="2" t="n"/>
      <c r="M93" s="3" t="n"/>
      <c r="N93" s="3" t="n"/>
    </row>
    <row r="94">
      <c r="A94" s="2" t="n"/>
      <c r="B94" s="3" t="n"/>
      <c r="C94" s="4">
        <f>IF(B94="","",IFERROR(INDEX(Agencias!$A$2:$A$32,MATCH(B94,Agencias!$B$2:$B$32,0)),"¿Agencia nueva?"))</f>
        <v/>
      </c>
      <c r="D94" s="3" t="n"/>
      <c r="E94" s="3" t="n"/>
      <c r="F94" s="3" t="n"/>
      <c r="G94" s="5" t="n"/>
      <c r="H94" s="6">
        <f>IF(G94="","",Ajustes!$B$2)</f>
        <v/>
      </c>
      <c r="I94" s="7">
        <f>IF(G94="","",ROUND(G94*H94,2))</f>
        <v/>
      </c>
      <c r="J94" s="8">
        <f>IF(A94="","",A94+Ajustes!$B$3)</f>
        <v/>
      </c>
      <c r="K94" s="3" t="n"/>
      <c r="L94" s="2" t="n"/>
      <c r="M94" s="3" t="n"/>
      <c r="N94" s="3" t="n"/>
    </row>
    <row r="95">
      <c r="A95" s="2" t="n"/>
      <c r="B95" s="3" t="n"/>
      <c r="C95" s="4">
        <f>IF(B95="","",IFERROR(INDEX(Agencias!$A$2:$A$32,MATCH(B95,Agencias!$B$2:$B$32,0)),"¿Agencia nueva?"))</f>
        <v/>
      </c>
      <c r="D95" s="3" t="n"/>
      <c r="E95" s="3" t="n"/>
      <c r="F95" s="3" t="n"/>
      <c r="G95" s="5" t="n"/>
      <c r="H95" s="6">
        <f>IF(G95="","",Ajustes!$B$2)</f>
        <v/>
      </c>
      <c r="I95" s="7">
        <f>IF(G95="","",ROUND(G95*H95,2))</f>
        <v/>
      </c>
      <c r="J95" s="8">
        <f>IF(A95="","",A95+Ajustes!$B$3)</f>
        <v/>
      </c>
      <c r="K95" s="3" t="n"/>
      <c r="L95" s="2" t="n"/>
      <c r="M95" s="3" t="n"/>
      <c r="N95" s="3" t="n"/>
    </row>
    <row r="96">
      <c r="A96" s="2" t="n"/>
      <c r="B96" s="3" t="n"/>
      <c r="C96" s="4">
        <f>IF(B96="","",IFERROR(INDEX(Agencias!$A$2:$A$32,MATCH(B96,Agencias!$B$2:$B$32,0)),"¿Agencia nueva?"))</f>
        <v/>
      </c>
      <c r="D96" s="3" t="n"/>
      <c r="E96" s="3" t="n"/>
      <c r="F96" s="3" t="n"/>
      <c r="G96" s="5" t="n"/>
      <c r="H96" s="6">
        <f>IF(G96="","",Ajustes!$B$2)</f>
        <v/>
      </c>
      <c r="I96" s="7">
        <f>IF(G96="","",ROUND(G96*H96,2))</f>
        <v/>
      </c>
      <c r="J96" s="8">
        <f>IF(A96="","",A96+Ajustes!$B$3)</f>
        <v/>
      </c>
      <c r="K96" s="3" t="n"/>
      <c r="L96" s="2" t="n"/>
      <c r="M96" s="3" t="n"/>
      <c r="N96" s="3" t="n"/>
    </row>
    <row r="97">
      <c r="A97" s="2" t="n"/>
      <c r="B97" s="3" t="n"/>
      <c r="C97" s="4">
        <f>IF(B97="","",IFERROR(INDEX(Agencias!$A$2:$A$32,MATCH(B97,Agencias!$B$2:$B$32,0)),"¿Agencia nueva?"))</f>
        <v/>
      </c>
      <c r="D97" s="3" t="n"/>
      <c r="E97" s="3" t="n"/>
      <c r="F97" s="3" t="n"/>
      <c r="G97" s="5" t="n"/>
      <c r="H97" s="6">
        <f>IF(G97="","",Ajustes!$B$2)</f>
        <v/>
      </c>
      <c r="I97" s="7">
        <f>IF(G97="","",ROUND(G97*H97,2))</f>
        <v/>
      </c>
      <c r="J97" s="8">
        <f>IF(A97="","",A97+Ajustes!$B$3)</f>
        <v/>
      </c>
      <c r="K97" s="3" t="n"/>
      <c r="L97" s="2" t="n"/>
      <c r="M97" s="3" t="n"/>
      <c r="N97" s="3" t="n"/>
    </row>
    <row r="98">
      <c r="A98" s="2" t="n"/>
      <c r="B98" s="3" t="n"/>
      <c r="C98" s="4">
        <f>IF(B98="","",IFERROR(INDEX(Agencias!$A$2:$A$32,MATCH(B98,Agencias!$B$2:$B$32,0)),"¿Agencia nueva?"))</f>
        <v/>
      </c>
      <c r="D98" s="3" t="n"/>
      <c r="E98" s="3" t="n"/>
      <c r="F98" s="3" t="n"/>
      <c r="G98" s="5" t="n"/>
      <c r="H98" s="6">
        <f>IF(G98="","",Ajustes!$B$2)</f>
        <v/>
      </c>
      <c r="I98" s="7">
        <f>IF(G98="","",ROUND(G98*H98,2))</f>
        <v/>
      </c>
      <c r="J98" s="8">
        <f>IF(A98="","",A98+Ajustes!$B$3)</f>
        <v/>
      </c>
      <c r="K98" s="3" t="n"/>
      <c r="L98" s="2" t="n"/>
      <c r="M98" s="3" t="n"/>
      <c r="N98" s="3" t="n"/>
    </row>
    <row r="99">
      <c r="A99" s="2" t="n"/>
      <c r="B99" s="3" t="n"/>
      <c r="C99" s="4">
        <f>IF(B99="","",IFERROR(INDEX(Agencias!$A$2:$A$32,MATCH(B99,Agencias!$B$2:$B$32,0)),"¿Agencia nueva?"))</f>
        <v/>
      </c>
      <c r="D99" s="3" t="n"/>
      <c r="E99" s="3" t="n"/>
      <c r="F99" s="3" t="n"/>
      <c r="G99" s="5" t="n"/>
      <c r="H99" s="6">
        <f>IF(G99="","",Ajustes!$B$2)</f>
        <v/>
      </c>
      <c r="I99" s="7">
        <f>IF(G99="","",ROUND(G99*H99,2))</f>
        <v/>
      </c>
      <c r="J99" s="8">
        <f>IF(A99="","",A99+Ajustes!$B$3)</f>
        <v/>
      </c>
      <c r="K99" s="3" t="n"/>
      <c r="L99" s="2" t="n"/>
      <c r="M99" s="3" t="n"/>
      <c r="N99" s="3" t="n"/>
    </row>
    <row r="100">
      <c r="A100" s="2" t="n"/>
      <c r="B100" s="3" t="n"/>
      <c r="C100" s="4">
        <f>IF(B100="","",IFERROR(INDEX(Agencias!$A$2:$A$32,MATCH(B100,Agencias!$B$2:$B$32,0)),"¿Agencia nueva?"))</f>
        <v/>
      </c>
      <c r="D100" s="3" t="n"/>
      <c r="E100" s="3" t="n"/>
      <c r="F100" s="3" t="n"/>
      <c r="G100" s="5" t="n"/>
      <c r="H100" s="6">
        <f>IF(G100="","",Ajustes!$B$2)</f>
        <v/>
      </c>
      <c r="I100" s="7">
        <f>IF(G100="","",ROUND(G100*H100,2))</f>
        <v/>
      </c>
      <c r="J100" s="8">
        <f>IF(A100="","",A100+Ajustes!$B$3)</f>
        <v/>
      </c>
      <c r="K100" s="3" t="n"/>
      <c r="L100" s="2" t="n"/>
      <c r="M100" s="3" t="n"/>
      <c r="N100" s="3" t="n"/>
    </row>
    <row r="101">
      <c r="A101" s="2" t="n"/>
      <c r="B101" s="3" t="n"/>
      <c r="C101" s="4">
        <f>IF(B101="","",IFERROR(INDEX(Agencias!$A$2:$A$32,MATCH(B101,Agencias!$B$2:$B$32,0)),"¿Agencia nueva?"))</f>
        <v/>
      </c>
      <c r="D101" s="3" t="n"/>
      <c r="E101" s="3" t="n"/>
      <c r="F101" s="3" t="n"/>
      <c r="G101" s="5" t="n"/>
      <c r="H101" s="6">
        <f>IF(G101="","",Ajustes!$B$2)</f>
        <v/>
      </c>
      <c r="I101" s="7">
        <f>IF(G101="","",ROUND(G101*H101,2))</f>
        <v/>
      </c>
      <c r="J101" s="8">
        <f>IF(A101="","",A101+Ajustes!$B$3)</f>
        <v/>
      </c>
      <c r="K101" s="3" t="n"/>
      <c r="L101" s="2" t="n"/>
      <c r="M101" s="3" t="n"/>
      <c r="N101" s="3" t="n"/>
    </row>
    <row r="102">
      <c r="A102" s="2" t="n"/>
      <c r="B102" s="3" t="n"/>
      <c r="C102" s="4">
        <f>IF(B102="","",IFERROR(INDEX(Agencias!$A$2:$A$32,MATCH(B102,Agencias!$B$2:$B$32,0)),"¿Agencia nueva?"))</f>
        <v/>
      </c>
      <c r="D102" s="3" t="n"/>
      <c r="E102" s="3" t="n"/>
      <c r="F102" s="3" t="n"/>
      <c r="G102" s="5" t="n"/>
      <c r="H102" s="6">
        <f>IF(G102="","",Ajustes!$B$2)</f>
        <v/>
      </c>
      <c r="I102" s="7">
        <f>IF(G102="","",ROUND(G102*H102,2))</f>
        <v/>
      </c>
      <c r="J102" s="8">
        <f>IF(A102="","",A102+Ajustes!$B$3)</f>
        <v/>
      </c>
      <c r="K102" s="3" t="n"/>
      <c r="L102" s="2" t="n"/>
      <c r="M102" s="3" t="n"/>
      <c r="N102" s="3" t="n"/>
    </row>
    <row r="103">
      <c r="A103" s="2" t="n"/>
      <c r="B103" s="3" t="n"/>
      <c r="C103" s="4">
        <f>IF(B103="","",IFERROR(INDEX(Agencias!$A$2:$A$32,MATCH(B103,Agencias!$B$2:$B$32,0)),"¿Agencia nueva?"))</f>
        <v/>
      </c>
      <c r="D103" s="3" t="n"/>
      <c r="E103" s="3" t="n"/>
      <c r="F103" s="3" t="n"/>
      <c r="G103" s="5" t="n"/>
      <c r="H103" s="6">
        <f>IF(G103="","",Ajustes!$B$2)</f>
        <v/>
      </c>
      <c r="I103" s="7">
        <f>IF(G103="","",ROUND(G103*H103,2))</f>
        <v/>
      </c>
      <c r="J103" s="8">
        <f>IF(A103="","",A103+Ajustes!$B$3)</f>
        <v/>
      </c>
      <c r="K103" s="3" t="n"/>
      <c r="L103" s="2" t="n"/>
      <c r="M103" s="3" t="n"/>
      <c r="N103" s="3" t="n"/>
    </row>
    <row r="104">
      <c r="A104" s="2" t="n"/>
      <c r="B104" s="3" t="n"/>
      <c r="C104" s="4">
        <f>IF(B104="","",IFERROR(INDEX(Agencias!$A$2:$A$32,MATCH(B104,Agencias!$B$2:$B$32,0)),"¿Agencia nueva?"))</f>
        <v/>
      </c>
      <c r="D104" s="3" t="n"/>
      <c r="E104" s="3" t="n"/>
      <c r="F104" s="3" t="n"/>
      <c r="G104" s="5" t="n"/>
      <c r="H104" s="6">
        <f>IF(G104="","",Ajustes!$B$2)</f>
        <v/>
      </c>
      <c r="I104" s="7">
        <f>IF(G104="","",ROUND(G104*H104,2))</f>
        <v/>
      </c>
      <c r="J104" s="8">
        <f>IF(A104="","",A104+Ajustes!$B$3)</f>
        <v/>
      </c>
      <c r="K104" s="3" t="n"/>
      <c r="L104" s="2" t="n"/>
      <c r="M104" s="3" t="n"/>
      <c r="N104" s="3" t="n"/>
    </row>
    <row r="105">
      <c r="A105" s="2" t="n"/>
      <c r="B105" s="3" t="n"/>
      <c r="C105" s="4">
        <f>IF(B105="","",IFERROR(INDEX(Agencias!$A$2:$A$32,MATCH(B105,Agencias!$B$2:$B$32,0)),"¿Agencia nueva?"))</f>
        <v/>
      </c>
      <c r="D105" s="3" t="n"/>
      <c r="E105" s="3" t="n"/>
      <c r="F105" s="3" t="n"/>
      <c r="G105" s="5" t="n"/>
      <c r="H105" s="6">
        <f>IF(G105="","",Ajustes!$B$2)</f>
        <v/>
      </c>
      <c r="I105" s="7">
        <f>IF(G105="","",ROUND(G105*H105,2))</f>
        <v/>
      </c>
      <c r="J105" s="8">
        <f>IF(A105="","",A105+Ajustes!$B$3)</f>
        <v/>
      </c>
      <c r="K105" s="3" t="n"/>
      <c r="L105" s="2" t="n"/>
      <c r="M105" s="3" t="n"/>
      <c r="N105" s="3" t="n"/>
    </row>
    <row r="106">
      <c r="A106" s="2" t="n"/>
      <c r="B106" s="3" t="n"/>
      <c r="C106" s="4">
        <f>IF(B106="","",IFERROR(INDEX(Agencias!$A$2:$A$32,MATCH(B106,Agencias!$B$2:$B$32,0)),"¿Agencia nueva?"))</f>
        <v/>
      </c>
      <c r="D106" s="3" t="n"/>
      <c r="E106" s="3" t="n"/>
      <c r="F106" s="3" t="n"/>
      <c r="G106" s="5" t="n"/>
      <c r="H106" s="6">
        <f>IF(G106="","",Ajustes!$B$2)</f>
        <v/>
      </c>
      <c r="I106" s="7">
        <f>IF(G106="","",ROUND(G106*H106,2))</f>
        <v/>
      </c>
      <c r="J106" s="8">
        <f>IF(A106="","",A106+Ajustes!$B$3)</f>
        <v/>
      </c>
      <c r="K106" s="3" t="n"/>
      <c r="L106" s="2" t="n"/>
      <c r="M106" s="3" t="n"/>
      <c r="N106" s="3" t="n"/>
    </row>
    <row r="107">
      <c r="A107" s="2" t="n"/>
      <c r="B107" s="3" t="n"/>
      <c r="C107" s="4">
        <f>IF(B107="","",IFERROR(INDEX(Agencias!$A$2:$A$32,MATCH(B107,Agencias!$B$2:$B$32,0)),"¿Agencia nueva?"))</f>
        <v/>
      </c>
      <c r="D107" s="3" t="n"/>
      <c r="E107" s="3" t="n"/>
      <c r="F107" s="3" t="n"/>
      <c r="G107" s="5" t="n"/>
      <c r="H107" s="6">
        <f>IF(G107="","",Ajustes!$B$2)</f>
        <v/>
      </c>
      <c r="I107" s="7">
        <f>IF(G107="","",ROUND(G107*H107,2))</f>
        <v/>
      </c>
      <c r="J107" s="8">
        <f>IF(A107="","",A107+Ajustes!$B$3)</f>
        <v/>
      </c>
      <c r="K107" s="3" t="n"/>
      <c r="L107" s="2" t="n"/>
      <c r="M107" s="3" t="n"/>
      <c r="N107" s="3" t="n"/>
    </row>
    <row r="108">
      <c r="A108" s="2" t="n"/>
      <c r="B108" s="3" t="n"/>
      <c r="C108" s="4">
        <f>IF(B108="","",IFERROR(INDEX(Agencias!$A$2:$A$32,MATCH(B108,Agencias!$B$2:$B$32,0)),"¿Agencia nueva?"))</f>
        <v/>
      </c>
      <c r="D108" s="3" t="n"/>
      <c r="E108" s="3" t="n"/>
      <c r="F108" s="3" t="n"/>
      <c r="G108" s="5" t="n"/>
      <c r="H108" s="6">
        <f>IF(G108="","",Ajustes!$B$2)</f>
        <v/>
      </c>
      <c r="I108" s="7">
        <f>IF(G108="","",ROUND(G108*H108,2))</f>
        <v/>
      </c>
      <c r="J108" s="8">
        <f>IF(A108="","",A108+Ajustes!$B$3)</f>
        <v/>
      </c>
      <c r="K108" s="3" t="n"/>
      <c r="L108" s="2" t="n"/>
      <c r="M108" s="3" t="n"/>
      <c r="N108" s="3" t="n"/>
    </row>
    <row r="109">
      <c r="A109" s="2" t="n"/>
      <c r="B109" s="3" t="n"/>
      <c r="C109" s="4">
        <f>IF(B109="","",IFERROR(INDEX(Agencias!$A$2:$A$32,MATCH(B109,Agencias!$B$2:$B$32,0)),"¿Agencia nueva?"))</f>
        <v/>
      </c>
      <c r="D109" s="3" t="n"/>
      <c r="E109" s="3" t="n"/>
      <c r="F109" s="3" t="n"/>
      <c r="G109" s="5" t="n"/>
      <c r="H109" s="6">
        <f>IF(G109="","",Ajustes!$B$2)</f>
        <v/>
      </c>
      <c r="I109" s="7">
        <f>IF(G109="","",ROUND(G109*H109,2))</f>
        <v/>
      </c>
      <c r="J109" s="8">
        <f>IF(A109="","",A109+Ajustes!$B$3)</f>
        <v/>
      </c>
      <c r="K109" s="3" t="n"/>
      <c r="L109" s="2" t="n"/>
      <c r="M109" s="3" t="n"/>
      <c r="N109" s="3" t="n"/>
    </row>
    <row r="110">
      <c r="A110" s="2" t="n"/>
      <c r="B110" s="3" t="n"/>
      <c r="C110" s="4">
        <f>IF(B110="","",IFERROR(INDEX(Agencias!$A$2:$A$32,MATCH(B110,Agencias!$B$2:$B$32,0)),"¿Agencia nueva?"))</f>
        <v/>
      </c>
      <c r="D110" s="3" t="n"/>
      <c r="E110" s="3" t="n"/>
      <c r="F110" s="3" t="n"/>
      <c r="G110" s="5" t="n"/>
      <c r="H110" s="6">
        <f>IF(G110="","",Ajustes!$B$2)</f>
        <v/>
      </c>
      <c r="I110" s="7">
        <f>IF(G110="","",ROUND(G110*H110,2))</f>
        <v/>
      </c>
      <c r="J110" s="8">
        <f>IF(A110="","",A110+Ajustes!$B$3)</f>
        <v/>
      </c>
      <c r="K110" s="3" t="n"/>
      <c r="L110" s="2" t="n"/>
      <c r="M110" s="3" t="n"/>
      <c r="N110" s="3" t="n"/>
    </row>
    <row r="111">
      <c r="A111" s="2" t="n"/>
      <c r="B111" s="3" t="n"/>
      <c r="C111" s="4">
        <f>IF(B111="","",IFERROR(INDEX(Agencias!$A$2:$A$32,MATCH(B111,Agencias!$B$2:$B$32,0)),"¿Agencia nueva?"))</f>
        <v/>
      </c>
      <c r="D111" s="3" t="n"/>
      <c r="E111" s="3" t="n"/>
      <c r="F111" s="3" t="n"/>
      <c r="G111" s="5" t="n"/>
      <c r="H111" s="6">
        <f>IF(G111="","",Ajustes!$B$2)</f>
        <v/>
      </c>
      <c r="I111" s="7">
        <f>IF(G111="","",ROUND(G111*H111,2))</f>
        <v/>
      </c>
      <c r="J111" s="8">
        <f>IF(A111="","",A111+Ajustes!$B$3)</f>
        <v/>
      </c>
      <c r="K111" s="3" t="n"/>
      <c r="L111" s="2" t="n"/>
      <c r="M111" s="3" t="n"/>
      <c r="N111" s="3" t="n"/>
    </row>
    <row r="112">
      <c r="A112" s="2" t="n"/>
      <c r="B112" s="3" t="n"/>
      <c r="C112" s="4">
        <f>IF(B112="","",IFERROR(INDEX(Agencias!$A$2:$A$32,MATCH(B112,Agencias!$B$2:$B$32,0)),"¿Agencia nueva?"))</f>
        <v/>
      </c>
      <c r="D112" s="3" t="n"/>
      <c r="E112" s="3" t="n"/>
      <c r="F112" s="3" t="n"/>
      <c r="G112" s="5" t="n"/>
      <c r="H112" s="6">
        <f>IF(G112="","",Ajustes!$B$2)</f>
        <v/>
      </c>
      <c r="I112" s="7">
        <f>IF(G112="","",ROUND(G112*H112,2))</f>
        <v/>
      </c>
      <c r="J112" s="8">
        <f>IF(A112="","",A112+Ajustes!$B$3)</f>
        <v/>
      </c>
      <c r="K112" s="3" t="n"/>
      <c r="L112" s="2" t="n"/>
      <c r="M112" s="3" t="n"/>
      <c r="N112" s="3" t="n"/>
    </row>
    <row r="113">
      <c r="A113" s="2" t="n"/>
      <c r="B113" s="3" t="n"/>
      <c r="C113" s="4">
        <f>IF(B113="","",IFERROR(INDEX(Agencias!$A$2:$A$32,MATCH(B113,Agencias!$B$2:$B$32,0)),"¿Agencia nueva?"))</f>
        <v/>
      </c>
      <c r="D113" s="3" t="n"/>
      <c r="E113" s="3" t="n"/>
      <c r="F113" s="3" t="n"/>
      <c r="G113" s="5" t="n"/>
      <c r="H113" s="6">
        <f>IF(G113="","",Ajustes!$B$2)</f>
        <v/>
      </c>
      <c r="I113" s="7">
        <f>IF(G113="","",ROUND(G113*H113,2))</f>
        <v/>
      </c>
      <c r="J113" s="8">
        <f>IF(A113="","",A113+Ajustes!$B$3)</f>
        <v/>
      </c>
      <c r="K113" s="3" t="n"/>
      <c r="L113" s="2" t="n"/>
      <c r="M113" s="3" t="n"/>
      <c r="N113" s="3" t="n"/>
    </row>
    <row r="114">
      <c r="A114" s="2" t="n"/>
      <c r="B114" s="3" t="n"/>
      <c r="C114" s="4">
        <f>IF(B114="","",IFERROR(INDEX(Agencias!$A$2:$A$32,MATCH(B114,Agencias!$B$2:$B$32,0)),"¿Agencia nueva?"))</f>
        <v/>
      </c>
      <c r="D114" s="3" t="n"/>
      <c r="E114" s="3" t="n"/>
      <c r="F114" s="3" t="n"/>
      <c r="G114" s="5" t="n"/>
      <c r="H114" s="6">
        <f>IF(G114="","",Ajustes!$B$2)</f>
        <v/>
      </c>
      <c r="I114" s="7">
        <f>IF(G114="","",ROUND(G114*H114,2))</f>
        <v/>
      </c>
      <c r="J114" s="8">
        <f>IF(A114="","",A114+Ajustes!$B$3)</f>
        <v/>
      </c>
      <c r="K114" s="3" t="n"/>
      <c r="L114" s="2" t="n"/>
      <c r="M114" s="3" t="n"/>
      <c r="N114" s="3" t="n"/>
    </row>
    <row r="115">
      <c r="A115" s="2" t="n"/>
      <c r="B115" s="3" t="n"/>
      <c r="C115" s="4">
        <f>IF(B115="","",IFERROR(INDEX(Agencias!$A$2:$A$32,MATCH(B115,Agencias!$B$2:$B$32,0)),"¿Agencia nueva?"))</f>
        <v/>
      </c>
      <c r="D115" s="3" t="n"/>
      <c r="E115" s="3" t="n"/>
      <c r="F115" s="3" t="n"/>
      <c r="G115" s="5" t="n"/>
      <c r="H115" s="6">
        <f>IF(G115="","",Ajustes!$B$2)</f>
        <v/>
      </c>
      <c r="I115" s="7">
        <f>IF(G115="","",ROUND(G115*H115,2))</f>
        <v/>
      </c>
      <c r="J115" s="8">
        <f>IF(A115="","",A115+Ajustes!$B$3)</f>
        <v/>
      </c>
      <c r="K115" s="3" t="n"/>
      <c r="L115" s="2" t="n"/>
      <c r="M115" s="3" t="n"/>
      <c r="N115" s="3" t="n"/>
    </row>
    <row r="116">
      <c r="A116" s="2" t="n"/>
      <c r="B116" s="3" t="n"/>
      <c r="C116" s="4">
        <f>IF(B116="","",IFERROR(INDEX(Agencias!$A$2:$A$32,MATCH(B116,Agencias!$B$2:$B$32,0)),"¿Agencia nueva?"))</f>
        <v/>
      </c>
      <c r="D116" s="3" t="n"/>
      <c r="E116" s="3" t="n"/>
      <c r="F116" s="3" t="n"/>
      <c r="G116" s="5" t="n"/>
      <c r="H116" s="6">
        <f>IF(G116="","",Ajustes!$B$2)</f>
        <v/>
      </c>
      <c r="I116" s="7">
        <f>IF(G116="","",ROUND(G116*H116,2))</f>
        <v/>
      </c>
      <c r="J116" s="8">
        <f>IF(A116="","",A116+Ajustes!$B$3)</f>
        <v/>
      </c>
      <c r="K116" s="3" t="n"/>
      <c r="L116" s="2" t="n"/>
      <c r="M116" s="3" t="n"/>
      <c r="N116" s="3" t="n"/>
    </row>
    <row r="117">
      <c r="A117" s="2" t="n"/>
      <c r="B117" s="3" t="n"/>
      <c r="C117" s="4">
        <f>IF(B117="","",IFERROR(INDEX(Agencias!$A$2:$A$32,MATCH(B117,Agencias!$B$2:$B$32,0)),"¿Agencia nueva?"))</f>
        <v/>
      </c>
      <c r="D117" s="3" t="n"/>
      <c r="E117" s="3" t="n"/>
      <c r="F117" s="3" t="n"/>
      <c r="G117" s="5" t="n"/>
      <c r="H117" s="6">
        <f>IF(G117="","",Ajustes!$B$2)</f>
        <v/>
      </c>
      <c r="I117" s="7">
        <f>IF(G117="","",ROUND(G117*H117,2))</f>
        <v/>
      </c>
      <c r="J117" s="8">
        <f>IF(A117="","",A117+Ajustes!$B$3)</f>
        <v/>
      </c>
      <c r="K117" s="3" t="n"/>
      <c r="L117" s="2" t="n"/>
      <c r="M117" s="3" t="n"/>
      <c r="N117" s="3" t="n"/>
    </row>
    <row r="118">
      <c r="A118" s="2" t="n"/>
      <c r="B118" s="3" t="n"/>
      <c r="C118" s="4">
        <f>IF(B118="","",IFERROR(INDEX(Agencias!$A$2:$A$32,MATCH(B118,Agencias!$B$2:$B$32,0)),"¿Agencia nueva?"))</f>
        <v/>
      </c>
      <c r="D118" s="3" t="n"/>
      <c r="E118" s="3" t="n"/>
      <c r="F118" s="3" t="n"/>
      <c r="G118" s="5" t="n"/>
      <c r="H118" s="6">
        <f>IF(G118="","",Ajustes!$B$2)</f>
        <v/>
      </c>
      <c r="I118" s="7">
        <f>IF(G118="","",ROUND(G118*H118,2))</f>
        <v/>
      </c>
      <c r="J118" s="8">
        <f>IF(A118="","",A118+Ajustes!$B$3)</f>
        <v/>
      </c>
      <c r="K118" s="3" t="n"/>
      <c r="L118" s="2" t="n"/>
      <c r="M118" s="3" t="n"/>
      <c r="N118" s="3" t="n"/>
    </row>
    <row r="119">
      <c r="A119" s="2" t="n"/>
      <c r="B119" s="3" t="n"/>
      <c r="C119" s="4">
        <f>IF(B119="","",IFERROR(INDEX(Agencias!$A$2:$A$32,MATCH(B119,Agencias!$B$2:$B$32,0)),"¿Agencia nueva?"))</f>
        <v/>
      </c>
      <c r="D119" s="3" t="n"/>
      <c r="E119" s="3" t="n"/>
      <c r="F119" s="3" t="n"/>
      <c r="G119" s="5" t="n"/>
      <c r="H119" s="6">
        <f>IF(G119="","",Ajustes!$B$2)</f>
        <v/>
      </c>
      <c r="I119" s="7">
        <f>IF(G119="","",ROUND(G119*H119,2))</f>
        <v/>
      </c>
      <c r="J119" s="8">
        <f>IF(A119="","",A119+Ajustes!$B$3)</f>
        <v/>
      </c>
      <c r="K119" s="3" t="n"/>
      <c r="L119" s="2" t="n"/>
      <c r="M119" s="3" t="n"/>
      <c r="N119" s="3" t="n"/>
    </row>
    <row r="120">
      <c r="A120" s="2" t="n"/>
      <c r="B120" s="3" t="n"/>
      <c r="C120" s="4">
        <f>IF(B120="","",IFERROR(INDEX(Agencias!$A$2:$A$32,MATCH(B120,Agencias!$B$2:$B$32,0)),"¿Agencia nueva?"))</f>
        <v/>
      </c>
      <c r="D120" s="3" t="n"/>
      <c r="E120" s="3" t="n"/>
      <c r="F120" s="3" t="n"/>
      <c r="G120" s="5" t="n"/>
      <c r="H120" s="6">
        <f>IF(G120="","",Ajustes!$B$2)</f>
        <v/>
      </c>
      <c r="I120" s="7">
        <f>IF(G120="","",ROUND(G120*H120,2))</f>
        <v/>
      </c>
      <c r="J120" s="8">
        <f>IF(A120="","",A120+Ajustes!$B$3)</f>
        <v/>
      </c>
      <c r="K120" s="3" t="n"/>
      <c r="L120" s="2" t="n"/>
      <c r="M120" s="3" t="n"/>
      <c r="N120" s="3" t="n"/>
    </row>
    <row r="121">
      <c r="A121" s="2" t="n"/>
      <c r="B121" s="3" t="n"/>
      <c r="C121" s="4">
        <f>IF(B121="","",IFERROR(INDEX(Agencias!$A$2:$A$32,MATCH(B121,Agencias!$B$2:$B$32,0)),"¿Agencia nueva?"))</f>
        <v/>
      </c>
      <c r="D121" s="3" t="n"/>
      <c r="E121" s="3" t="n"/>
      <c r="F121" s="3" t="n"/>
      <c r="G121" s="5" t="n"/>
      <c r="H121" s="6">
        <f>IF(G121="","",Ajustes!$B$2)</f>
        <v/>
      </c>
      <c r="I121" s="7">
        <f>IF(G121="","",ROUND(G121*H121,2))</f>
        <v/>
      </c>
      <c r="J121" s="8">
        <f>IF(A121="","",A121+Ajustes!$B$3)</f>
        <v/>
      </c>
      <c r="K121" s="3" t="n"/>
      <c r="L121" s="2" t="n"/>
      <c r="M121" s="3" t="n"/>
      <c r="N121" s="3" t="n"/>
    </row>
    <row r="122">
      <c r="A122" s="2" t="n"/>
      <c r="B122" s="3" t="n"/>
      <c r="C122" s="4">
        <f>IF(B122="","",IFERROR(INDEX(Agencias!$A$2:$A$32,MATCH(B122,Agencias!$B$2:$B$32,0)),"¿Agencia nueva?"))</f>
        <v/>
      </c>
      <c r="D122" s="3" t="n"/>
      <c r="E122" s="3" t="n"/>
      <c r="F122" s="3" t="n"/>
      <c r="G122" s="5" t="n"/>
      <c r="H122" s="6">
        <f>IF(G122="","",Ajustes!$B$2)</f>
        <v/>
      </c>
      <c r="I122" s="7">
        <f>IF(G122="","",ROUND(G122*H122,2))</f>
        <v/>
      </c>
      <c r="J122" s="8">
        <f>IF(A122="","",A122+Ajustes!$B$3)</f>
        <v/>
      </c>
      <c r="K122" s="3" t="n"/>
      <c r="L122" s="2" t="n"/>
      <c r="M122" s="3" t="n"/>
      <c r="N122" s="3" t="n"/>
    </row>
    <row r="123">
      <c r="A123" s="2" t="n"/>
      <c r="B123" s="3" t="n"/>
      <c r="C123" s="4">
        <f>IF(B123="","",IFERROR(INDEX(Agencias!$A$2:$A$32,MATCH(B123,Agencias!$B$2:$B$32,0)),"¿Agencia nueva?"))</f>
        <v/>
      </c>
      <c r="D123" s="3" t="n"/>
      <c r="E123" s="3" t="n"/>
      <c r="F123" s="3" t="n"/>
      <c r="G123" s="5" t="n"/>
      <c r="H123" s="6">
        <f>IF(G123="","",Ajustes!$B$2)</f>
        <v/>
      </c>
      <c r="I123" s="7">
        <f>IF(G123="","",ROUND(G123*H123,2))</f>
        <v/>
      </c>
      <c r="J123" s="8">
        <f>IF(A123="","",A123+Ajustes!$B$3)</f>
        <v/>
      </c>
      <c r="K123" s="3" t="n"/>
      <c r="L123" s="2" t="n"/>
      <c r="M123" s="3" t="n"/>
      <c r="N123" s="3" t="n"/>
    </row>
    <row r="124">
      <c r="A124" s="2" t="n"/>
      <c r="B124" s="3" t="n"/>
      <c r="C124" s="4">
        <f>IF(B124="","",IFERROR(INDEX(Agencias!$A$2:$A$32,MATCH(B124,Agencias!$B$2:$B$32,0)),"¿Agencia nueva?"))</f>
        <v/>
      </c>
      <c r="D124" s="3" t="n"/>
      <c r="E124" s="3" t="n"/>
      <c r="F124" s="3" t="n"/>
      <c r="G124" s="5" t="n"/>
      <c r="H124" s="6">
        <f>IF(G124="","",Ajustes!$B$2)</f>
        <v/>
      </c>
      <c r="I124" s="7">
        <f>IF(G124="","",ROUND(G124*H124,2))</f>
        <v/>
      </c>
      <c r="J124" s="8">
        <f>IF(A124="","",A124+Ajustes!$B$3)</f>
        <v/>
      </c>
      <c r="K124" s="3" t="n"/>
      <c r="L124" s="2" t="n"/>
      <c r="M124" s="3" t="n"/>
      <c r="N124" s="3" t="n"/>
    </row>
    <row r="125">
      <c r="A125" s="2" t="n"/>
      <c r="B125" s="3" t="n"/>
      <c r="C125" s="4">
        <f>IF(B125="","",IFERROR(INDEX(Agencias!$A$2:$A$32,MATCH(B125,Agencias!$B$2:$B$32,0)),"¿Agencia nueva?"))</f>
        <v/>
      </c>
      <c r="D125" s="3" t="n"/>
      <c r="E125" s="3" t="n"/>
      <c r="F125" s="3" t="n"/>
      <c r="G125" s="5" t="n"/>
      <c r="H125" s="6">
        <f>IF(G125="","",Ajustes!$B$2)</f>
        <v/>
      </c>
      <c r="I125" s="7">
        <f>IF(G125="","",ROUND(G125*H125,2))</f>
        <v/>
      </c>
      <c r="J125" s="8">
        <f>IF(A125="","",A125+Ajustes!$B$3)</f>
        <v/>
      </c>
      <c r="K125" s="3" t="n"/>
      <c r="L125" s="2" t="n"/>
      <c r="M125" s="3" t="n"/>
      <c r="N125" s="3" t="n"/>
    </row>
    <row r="126">
      <c r="A126" s="2" t="n"/>
      <c r="B126" s="3" t="n"/>
      <c r="C126" s="4">
        <f>IF(B126="","",IFERROR(INDEX(Agencias!$A$2:$A$32,MATCH(B126,Agencias!$B$2:$B$32,0)),"¿Agencia nueva?"))</f>
        <v/>
      </c>
      <c r="D126" s="3" t="n"/>
      <c r="E126" s="3" t="n"/>
      <c r="F126" s="3" t="n"/>
      <c r="G126" s="5" t="n"/>
      <c r="H126" s="6">
        <f>IF(G126="","",Ajustes!$B$2)</f>
        <v/>
      </c>
      <c r="I126" s="7">
        <f>IF(G126="","",ROUND(G126*H126,2))</f>
        <v/>
      </c>
      <c r="J126" s="8">
        <f>IF(A126="","",A126+Ajustes!$B$3)</f>
        <v/>
      </c>
      <c r="K126" s="3" t="n"/>
      <c r="L126" s="2" t="n"/>
      <c r="M126" s="3" t="n"/>
      <c r="N126" s="3" t="n"/>
    </row>
    <row r="127">
      <c r="A127" s="2" t="n"/>
      <c r="B127" s="3" t="n"/>
      <c r="C127" s="4">
        <f>IF(B127="","",IFERROR(INDEX(Agencias!$A$2:$A$32,MATCH(B127,Agencias!$B$2:$B$32,0)),"¿Agencia nueva?"))</f>
        <v/>
      </c>
      <c r="D127" s="3" t="n"/>
      <c r="E127" s="3" t="n"/>
      <c r="F127" s="3" t="n"/>
      <c r="G127" s="5" t="n"/>
      <c r="H127" s="6">
        <f>IF(G127="","",Ajustes!$B$2)</f>
        <v/>
      </c>
      <c r="I127" s="7">
        <f>IF(G127="","",ROUND(G127*H127,2))</f>
        <v/>
      </c>
      <c r="J127" s="8">
        <f>IF(A127="","",A127+Ajustes!$B$3)</f>
        <v/>
      </c>
      <c r="K127" s="3" t="n"/>
      <c r="L127" s="2" t="n"/>
      <c r="M127" s="3" t="n"/>
      <c r="N127" s="3" t="n"/>
    </row>
    <row r="128">
      <c r="A128" s="2" t="n"/>
      <c r="B128" s="3" t="n"/>
      <c r="C128" s="4">
        <f>IF(B128="","",IFERROR(INDEX(Agencias!$A$2:$A$32,MATCH(B128,Agencias!$B$2:$B$32,0)),"¿Agencia nueva?"))</f>
        <v/>
      </c>
      <c r="D128" s="3" t="n"/>
      <c r="E128" s="3" t="n"/>
      <c r="F128" s="3" t="n"/>
      <c r="G128" s="5" t="n"/>
      <c r="H128" s="6">
        <f>IF(G128="","",Ajustes!$B$2)</f>
        <v/>
      </c>
      <c r="I128" s="7">
        <f>IF(G128="","",ROUND(G128*H128,2))</f>
        <v/>
      </c>
      <c r="J128" s="8">
        <f>IF(A128="","",A128+Ajustes!$B$3)</f>
        <v/>
      </c>
      <c r="K128" s="3" t="n"/>
      <c r="L128" s="2" t="n"/>
      <c r="M128" s="3" t="n"/>
      <c r="N128" s="3" t="n"/>
    </row>
    <row r="129">
      <c r="A129" s="2" t="n"/>
      <c r="B129" s="3" t="n"/>
      <c r="C129" s="4">
        <f>IF(B129="","",IFERROR(INDEX(Agencias!$A$2:$A$32,MATCH(B129,Agencias!$B$2:$B$32,0)),"¿Agencia nueva?"))</f>
        <v/>
      </c>
      <c r="D129" s="3" t="n"/>
      <c r="E129" s="3" t="n"/>
      <c r="F129" s="3" t="n"/>
      <c r="G129" s="5" t="n"/>
      <c r="H129" s="6">
        <f>IF(G129="","",Ajustes!$B$2)</f>
        <v/>
      </c>
      <c r="I129" s="7">
        <f>IF(G129="","",ROUND(G129*H129,2))</f>
        <v/>
      </c>
      <c r="J129" s="8">
        <f>IF(A129="","",A129+Ajustes!$B$3)</f>
        <v/>
      </c>
      <c r="K129" s="3" t="n"/>
      <c r="L129" s="2" t="n"/>
      <c r="M129" s="3" t="n"/>
      <c r="N129" s="3" t="n"/>
    </row>
    <row r="130">
      <c r="A130" s="2" t="n"/>
      <c r="B130" s="3" t="n"/>
      <c r="C130" s="4">
        <f>IF(B130="","",IFERROR(INDEX(Agencias!$A$2:$A$32,MATCH(B130,Agencias!$B$2:$B$32,0)),"¿Agencia nueva?"))</f>
        <v/>
      </c>
      <c r="D130" s="3" t="n"/>
      <c r="E130" s="3" t="n"/>
      <c r="F130" s="3" t="n"/>
      <c r="G130" s="5" t="n"/>
      <c r="H130" s="6">
        <f>IF(G130="","",Ajustes!$B$2)</f>
        <v/>
      </c>
      <c r="I130" s="7">
        <f>IF(G130="","",ROUND(G130*H130,2))</f>
        <v/>
      </c>
      <c r="J130" s="8">
        <f>IF(A130="","",A130+Ajustes!$B$3)</f>
        <v/>
      </c>
      <c r="K130" s="3" t="n"/>
      <c r="L130" s="2" t="n"/>
      <c r="M130" s="3" t="n"/>
      <c r="N130" s="3" t="n"/>
    </row>
    <row r="131">
      <c r="A131" s="2" t="n"/>
      <c r="B131" s="3" t="n"/>
      <c r="C131" s="4">
        <f>IF(B131="","",IFERROR(INDEX(Agencias!$A$2:$A$32,MATCH(B131,Agencias!$B$2:$B$32,0)),"¿Agencia nueva?"))</f>
        <v/>
      </c>
      <c r="D131" s="3" t="n"/>
      <c r="E131" s="3" t="n"/>
      <c r="F131" s="3" t="n"/>
      <c r="G131" s="5" t="n"/>
      <c r="H131" s="6">
        <f>IF(G131="","",Ajustes!$B$2)</f>
        <v/>
      </c>
      <c r="I131" s="7">
        <f>IF(G131="","",ROUND(G131*H131,2))</f>
        <v/>
      </c>
      <c r="J131" s="8">
        <f>IF(A131="","",A131+Ajustes!$B$3)</f>
        <v/>
      </c>
      <c r="K131" s="3" t="n"/>
      <c r="L131" s="2" t="n"/>
      <c r="M131" s="3" t="n"/>
      <c r="N131" s="3" t="n"/>
    </row>
    <row r="132">
      <c r="A132" s="2" t="n"/>
      <c r="B132" s="3" t="n"/>
      <c r="C132" s="4">
        <f>IF(B132="","",IFERROR(INDEX(Agencias!$A$2:$A$32,MATCH(B132,Agencias!$B$2:$B$32,0)),"¿Agencia nueva?"))</f>
        <v/>
      </c>
      <c r="D132" s="3" t="n"/>
      <c r="E132" s="3" t="n"/>
      <c r="F132" s="3" t="n"/>
      <c r="G132" s="5" t="n"/>
      <c r="H132" s="6">
        <f>IF(G132="","",Ajustes!$B$2)</f>
        <v/>
      </c>
      <c r="I132" s="7">
        <f>IF(G132="","",ROUND(G132*H132,2))</f>
        <v/>
      </c>
      <c r="J132" s="8">
        <f>IF(A132="","",A132+Ajustes!$B$3)</f>
        <v/>
      </c>
      <c r="K132" s="3" t="n"/>
      <c r="L132" s="2" t="n"/>
      <c r="M132" s="3" t="n"/>
      <c r="N132" s="3" t="n"/>
    </row>
    <row r="133">
      <c r="A133" s="2" t="n"/>
      <c r="B133" s="3" t="n"/>
      <c r="C133" s="4">
        <f>IF(B133="","",IFERROR(INDEX(Agencias!$A$2:$A$32,MATCH(B133,Agencias!$B$2:$B$32,0)),"¿Agencia nueva?"))</f>
        <v/>
      </c>
      <c r="D133" s="3" t="n"/>
      <c r="E133" s="3" t="n"/>
      <c r="F133" s="3" t="n"/>
      <c r="G133" s="5" t="n"/>
      <c r="H133" s="6">
        <f>IF(G133="","",Ajustes!$B$2)</f>
        <v/>
      </c>
      <c r="I133" s="7">
        <f>IF(G133="","",ROUND(G133*H133,2))</f>
        <v/>
      </c>
      <c r="J133" s="8">
        <f>IF(A133="","",A133+Ajustes!$B$3)</f>
        <v/>
      </c>
      <c r="K133" s="3" t="n"/>
      <c r="L133" s="2" t="n"/>
      <c r="M133" s="3" t="n"/>
      <c r="N133" s="3" t="n"/>
    </row>
    <row r="134">
      <c r="A134" s="2" t="n"/>
      <c r="B134" s="3" t="n"/>
      <c r="C134" s="4">
        <f>IF(B134="","",IFERROR(INDEX(Agencias!$A$2:$A$32,MATCH(B134,Agencias!$B$2:$B$32,0)),"¿Agencia nueva?"))</f>
        <v/>
      </c>
      <c r="D134" s="3" t="n"/>
      <c r="E134" s="3" t="n"/>
      <c r="F134" s="3" t="n"/>
      <c r="G134" s="5" t="n"/>
      <c r="H134" s="6">
        <f>IF(G134="","",Ajustes!$B$2)</f>
        <v/>
      </c>
      <c r="I134" s="7">
        <f>IF(G134="","",ROUND(G134*H134,2))</f>
        <v/>
      </c>
      <c r="J134" s="8">
        <f>IF(A134="","",A134+Ajustes!$B$3)</f>
        <v/>
      </c>
      <c r="K134" s="3" t="n"/>
      <c r="L134" s="2" t="n"/>
      <c r="M134" s="3" t="n"/>
      <c r="N134" s="3" t="n"/>
    </row>
    <row r="135">
      <c r="A135" s="2" t="n"/>
      <c r="B135" s="3" t="n"/>
      <c r="C135" s="4">
        <f>IF(B135="","",IFERROR(INDEX(Agencias!$A$2:$A$32,MATCH(B135,Agencias!$B$2:$B$32,0)),"¿Agencia nueva?"))</f>
        <v/>
      </c>
      <c r="D135" s="3" t="n"/>
      <c r="E135" s="3" t="n"/>
      <c r="F135" s="3" t="n"/>
      <c r="G135" s="5" t="n"/>
      <c r="H135" s="6">
        <f>IF(G135="","",Ajustes!$B$2)</f>
        <v/>
      </c>
      <c r="I135" s="7">
        <f>IF(G135="","",ROUND(G135*H135,2))</f>
        <v/>
      </c>
      <c r="J135" s="8">
        <f>IF(A135="","",A135+Ajustes!$B$3)</f>
        <v/>
      </c>
      <c r="K135" s="3" t="n"/>
      <c r="L135" s="2" t="n"/>
      <c r="M135" s="3" t="n"/>
      <c r="N135" s="3" t="n"/>
    </row>
    <row r="136">
      <c r="A136" s="2" t="n"/>
      <c r="B136" s="3" t="n"/>
      <c r="C136" s="4">
        <f>IF(B136="","",IFERROR(INDEX(Agencias!$A$2:$A$32,MATCH(B136,Agencias!$B$2:$B$32,0)),"¿Agencia nueva?"))</f>
        <v/>
      </c>
      <c r="D136" s="3" t="n"/>
      <c r="E136" s="3" t="n"/>
      <c r="F136" s="3" t="n"/>
      <c r="G136" s="5" t="n"/>
      <c r="H136" s="6">
        <f>IF(G136="","",Ajustes!$B$2)</f>
        <v/>
      </c>
      <c r="I136" s="7">
        <f>IF(G136="","",ROUND(G136*H136,2))</f>
        <v/>
      </c>
      <c r="J136" s="8">
        <f>IF(A136="","",A136+Ajustes!$B$3)</f>
        <v/>
      </c>
      <c r="K136" s="3" t="n"/>
      <c r="L136" s="2" t="n"/>
      <c r="M136" s="3" t="n"/>
      <c r="N136" s="3" t="n"/>
    </row>
    <row r="137">
      <c r="A137" s="2" t="n"/>
      <c r="B137" s="3" t="n"/>
      <c r="C137" s="4">
        <f>IF(B137="","",IFERROR(INDEX(Agencias!$A$2:$A$32,MATCH(B137,Agencias!$B$2:$B$32,0)),"¿Agencia nueva?"))</f>
        <v/>
      </c>
      <c r="D137" s="3" t="n"/>
      <c r="E137" s="3" t="n"/>
      <c r="F137" s="3" t="n"/>
      <c r="G137" s="5" t="n"/>
      <c r="H137" s="6">
        <f>IF(G137="","",Ajustes!$B$2)</f>
        <v/>
      </c>
      <c r="I137" s="7">
        <f>IF(G137="","",ROUND(G137*H137,2))</f>
        <v/>
      </c>
      <c r="J137" s="8">
        <f>IF(A137="","",A137+Ajustes!$B$3)</f>
        <v/>
      </c>
      <c r="K137" s="3" t="n"/>
      <c r="L137" s="2" t="n"/>
      <c r="M137" s="3" t="n"/>
      <c r="N137" s="3" t="n"/>
    </row>
    <row r="138">
      <c r="A138" s="2" t="n"/>
      <c r="B138" s="3" t="n"/>
      <c r="C138" s="4">
        <f>IF(B138="","",IFERROR(INDEX(Agencias!$A$2:$A$32,MATCH(B138,Agencias!$B$2:$B$32,0)),"¿Agencia nueva?"))</f>
        <v/>
      </c>
      <c r="D138" s="3" t="n"/>
      <c r="E138" s="3" t="n"/>
      <c r="F138" s="3" t="n"/>
      <c r="G138" s="5" t="n"/>
      <c r="H138" s="6">
        <f>IF(G138="","",Ajustes!$B$2)</f>
        <v/>
      </c>
      <c r="I138" s="7">
        <f>IF(G138="","",ROUND(G138*H138,2))</f>
        <v/>
      </c>
      <c r="J138" s="8">
        <f>IF(A138="","",A138+Ajustes!$B$3)</f>
        <v/>
      </c>
      <c r="K138" s="3" t="n"/>
      <c r="L138" s="2" t="n"/>
      <c r="M138" s="3" t="n"/>
      <c r="N138" s="3" t="n"/>
    </row>
    <row r="139">
      <c r="A139" s="2" t="n"/>
      <c r="B139" s="3" t="n"/>
      <c r="C139" s="4">
        <f>IF(B139="","",IFERROR(INDEX(Agencias!$A$2:$A$32,MATCH(B139,Agencias!$B$2:$B$32,0)),"¿Agencia nueva?"))</f>
        <v/>
      </c>
      <c r="D139" s="3" t="n"/>
      <c r="E139" s="3" t="n"/>
      <c r="F139" s="3" t="n"/>
      <c r="G139" s="5" t="n"/>
      <c r="H139" s="6">
        <f>IF(G139="","",Ajustes!$B$2)</f>
        <v/>
      </c>
      <c r="I139" s="7">
        <f>IF(G139="","",ROUND(G139*H139,2))</f>
        <v/>
      </c>
      <c r="J139" s="8">
        <f>IF(A139="","",A139+Ajustes!$B$3)</f>
        <v/>
      </c>
      <c r="K139" s="3" t="n"/>
      <c r="L139" s="2" t="n"/>
      <c r="M139" s="3" t="n"/>
      <c r="N139" s="3" t="n"/>
    </row>
    <row r="140">
      <c r="A140" s="2" t="n"/>
      <c r="B140" s="3" t="n"/>
      <c r="C140" s="4">
        <f>IF(B140="","",IFERROR(INDEX(Agencias!$A$2:$A$32,MATCH(B140,Agencias!$B$2:$B$32,0)),"¿Agencia nueva?"))</f>
        <v/>
      </c>
      <c r="D140" s="3" t="n"/>
      <c r="E140" s="3" t="n"/>
      <c r="F140" s="3" t="n"/>
      <c r="G140" s="5" t="n"/>
      <c r="H140" s="6">
        <f>IF(G140="","",Ajustes!$B$2)</f>
        <v/>
      </c>
      <c r="I140" s="7">
        <f>IF(G140="","",ROUND(G140*H140,2))</f>
        <v/>
      </c>
      <c r="J140" s="8">
        <f>IF(A140="","",A140+Ajustes!$B$3)</f>
        <v/>
      </c>
      <c r="K140" s="3" t="n"/>
      <c r="L140" s="2" t="n"/>
      <c r="M140" s="3" t="n"/>
      <c r="N140" s="3" t="n"/>
    </row>
    <row r="141">
      <c r="A141" s="2" t="n"/>
      <c r="B141" s="3" t="n"/>
      <c r="C141" s="4">
        <f>IF(B141="","",IFERROR(INDEX(Agencias!$A$2:$A$32,MATCH(B141,Agencias!$B$2:$B$32,0)),"¿Agencia nueva?"))</f>
        <v/>
      </c>
      <c r="D141" s="3" t="n"/>
      <c r="E141" s="3" t="n"/>
      <c r="F141" s="3" t="n"/>
      <c r="G141" s="5" t="n"/>
      <c r="H141" s="6">
        <f>IF(G141="","",Ajustes!$B$2)</f>
        <v/>
      </c>
      <c r="I141" s="7">
        <f>IF(G141="","",ROUND(G141*H141,2))</f>
        <v/>
      </c>
      <c r="J141" s="8">
        <f>IF(A141="","",A141+Ajustes!$B$3)</f>
        <v/>
      </c>
      <c r="K141" s="3" t="n"/>
      <c r="L141" s="2" t="n"/>
      <c r="M141" s="3" t="n"/>
      <c r="N141" s="3" t="n"/>
    </row>
    <row r="142">
      <c r="A142" s="2" t="n"/>
      <c r="B142" s="3" t="n"/>
      <c r="C142" s="4">
        <f>IF(B142="","",IFERROR(INDEX(Agencias!$A$2:$A$32,MATCH(B142,Agencias!$B$2:$B$32,0)),"¿Agencia nueva?"))</f>
        <v/>
      </c>
      <c r="D142" s="3" t="n"/>
      <c r="E142" s="3" t="n"/>
      <c r="F142" s="3" t="n"/>
      <c r="G142" s="5" t="n"/>
      <c r="H142" s="6">
        <f>IF(G142="","",Ajustes!$B$2)</f>
        <v/>
      </c>
      <c r="I142" s="7">
        <f>IF(G142="","",ROUND(G142*H142,2))</f>
        <v/>
      </c>
      <c r="J142" s="8">
        <f>IF(A142="","",A142+Ajustes!$B$3)</f>
        <v/>
      </c>
      <c r="K142" s="3" t="n"/>
      <c r="L142" s="2" t="n"/>
      <c r="M142" s="3" t="n"/>
      <c r="N142" s="3" t="n"/>
    </row>
    <row r="143">
      <c r="A143" s="2" t="n"/>
      <c r="B143" s="3" t="n"/>
      <c r="C143" s="4">
        <f>IF(B143="","",IFERROR(INDEX(Agencias!$A$2:$A$32,MATCH(B143,Agencias!$B$2:$B$32,0)),"¿Agencia nueva?"))</f>
        <v/>
      </c>
      <c r="D143" s="3" t="n"/>
      <c r="E143" s="3" t="n"/>
      <c r="F143" s="3" t="n"/>
      <c r="G143" s="5" t="n"/>
      <c r="H143" s="6">
        <f>IF(G143="","",Ajustes!$B$2)</f>
        <v/>
      </c>
      <c r="I143" s="7">
        <f>IF(G143="","",ROUND(G143*H143,2))</f>
        <v/>
      </c>
      <c r="J143" s="8">
        <f>IF(A143="","",A143+Ajustes!$B$3)</f>
        <v/>
      </c>
      <c r="K143" s="3" t="n"/>
      <c r="L143" s="2" t="n"/>
      <c r="M143" s="3" t="n"/>
      <c r="N143" s="3" t="n"/>
    </row>
    <row r="144">
      <c r="A144" s="2" t="n"/>
      <c r="B144" s="3" t="n"/>
      <c r="C144" s="4">
        <f>IF(B144="","",IFERROR(INDEX(Agencias!$A$2:$A$32,MATCH(B144,Agencias!$B$2:$B$32,0)),"¿Agencia nueva?"))</f>
        <v/>
      </c>
      <c r="D144" s="3" t="n"/>
      <c r="E144" s="3" t="n"/>
      <c r="F144" s="3" t="n"/>
      <c r="G144" s="5" t="n"/>
      <c r="H144" s="6">
        <f>IF(G144="","",Ajustes!$B$2)</f>
        <v/>
      </c>
      <c r="I144" s="7">
        <f>IF(G144="","",ROUND(G144*H144,2))</f>
        <v/>
      </c>
      <c r="J144" s="8">
        <f>IF(A144="","",A144+Ajustes!$B$3)</f>
        <v/>
      </c>
      <c r="K144" s="3" t="n"/>
      <c r="L144" s="2" t="n"/>
      <c r="M144" s="3" t="n"/>
      <c r="N144" s="3" t="n"/>
    </row>
    <row r="145">
      <c r="A145" s="2" t="n"/>
      <c r="B145" s="3" t="n"/>
      <c r="C145" s="4">
        <f>IF(B145="","",IFERROR(INDEX(Agencias!$A$2:$A$32,MATCH(B145,Agencias!$B$2:$B$32,0)),"¿Agencia nueva?"))</f>
        <v/>
      </c>
      <c r="D145" s="3" t="n"/>
      <c r="E145" s="3" t="n"/>
      <c r="F145" s="3" t="n"/>
      <c r="G145" s="5" t="n"/>
      <c r="H145" s="6">
        <f>IF(G145="","",Ajustes!$B$2)</f>
        <v/>
      </c>
      <c r="I145" s="7">
        <f>IF(G145="","",ROUND(G145*H145,2))</f>
        <v/>
      </c>
      <c r="J145" s="8">
        <f>IF(A145="","",A145+Ajustes!$B$3)</f>
        <v/>
      </c>
      <c r="K145" s="3" t="n"/>
      <c r="L145" s="2" t="n"/>
      <c r="M145" s="3" t="n"/>
      <c r="N145" s="3" t="n"/>
    </row>
    <row r="146">
      <c r="A146" s="2" t="n"/>
      <c r="B146" s="3" t="n"/>
      <c r="C146" s="4">
        <f>IF(B146="","",IFERROR(INDEX(Agencias!$A$2:$A$32,MATCH(B146,Agencias!$B$2:$B$32,0)),"¿Agencia nueva?"))</f>
        <v/>
      </c>
      <c r="D146" s="3" t="n"/>
      <c r="E146" s="3" t="n"/>
      <c r="F146" s="3" t="n"/>
      <c r="G146" s="5" t="n"/>
      <c r="H146" s="6">
        <f>IF(G146="","",Ajustes!$B$2)</f>
        <v/>
      </c>
      <c r="I146" s="7">
        <f>IF(G146="","",ROUND(G146*H146,2))</f>
        <v/>
      </c>
      <c r="J146" s="8">
        <f>IF(A146="","",A146+Ajustes!$B$3)</f>
        <v/>
      </c>
      <c r="K146" s="3" t="n"/>
      <c r="L146" s="2" t="n"/>
      <c r="M146" s="3" t="n"/>
      <c r="N146" s="3" t="n"/>
    </row>
    <row r="147">
      <c r="A147" s="2" t="n"/>
      <c r="B147" s="3" t="n"/>
      <c r="C147" s="4">
        <f>IF(B147="","",IFERROR(INDEX(Agencias!$A$2:$A$32,MATCH(B147,Agencias!$B$2:$B$32,0)),"¿Agencia nueva?"))</f>
        <v/>
      </c>
      <c r="D147" s="3" t="n"/>
      <c r="E147" s="3" t="n"/>
      <c r="F147" s="3" t="n"/>
      <c r="G147" s="5" t="n"/>
      <c r="H147" s="6">
        <f>IF(G147="","",Ajustes!$B$2)</f>
        <v/>
      </c>
      <c r="I147" s="7">
        <f>IF(G147="","",ROUND(G147*H147,2))</f>
        <v/>
      </c>
      <c r="J147" s="8">
        <f>IF(A147="","",A147+Ajustes!$B$3)</f>
        <v/>
      </c>
      <c r="K147" s="3" t="n"/>
      <c r="L147" s="2" t="n"/>
      <c r="M147" s="3" t="n"/>
      <c r="N147" s="3" t="n"/>
    </row>
    <row r="148">
      <c r="A148" s="2" t="n"/>
      <c r="B148" s="3" t="n"/>
      <c r="C148" s="4">
        <f>IF(B148="","",IFERROR(INDEX(Agencias!$A$2:$A$32,MATCH(B148,Agencias!$B$2:$B$32,0)),"¿Agencia nueva?"))</f>
        <v/>
      </c>
      <c r="D148" s="3" t="n"/>
      <c r="E148" s="3" t="n"/>
      <c r="F148" s="3" t="n"/>
      <c r="G148" s="5" t="n"/>
      <c r="H148" s="6">
        <f>IF(G148="","",Ajustes!$B$2)</f>
        <v/>
      </c>
      <c r="I148" s="7">
        <f>IF(G148="","",ROUND(G148*H148,2))</f>
        <v/>
      </c>
      <c r="J148" s="8">
        <f>IF(A148="","",A148+Ajustes!$B$3)</f>
        <v/>
      </c>
      <c r="K148" s="3" t="n"/>
      <c r="L148" s="2" t="n"/>
      <c r="M148" s="3" t="n"/>
      <c r="N148" s="3" t="n"/>
    </row>
    <row r="149">
      <c r="A149" s="2" t="n"/>
      <c r="B149" s="3" t="n"/>
      <c r="C149" s="4">
        <f>IF(B149="","",IFERROR(INDEX(Agencias!$A$2:$A$32,MATCH(B149,Agencias!$B$2:$B$32,0)),"¿Agencia nueva?"))</f>
        <v/>
      </c>
      <c r="D149" s="3" t="n"/>
      <c r="E149" s="3" t="n"/>
      <c r="F149" s="3" t="n"/>
      <c r="G149" s="5" t="n"/>
      <c r="H149" s="6">
        <f>IF(G149="","",Ajustes!$B$2)</f>
        <v/>
      </c>
      <c r="I149" s="7">
        <f>IF(G149="","",ROUND(G149*H149,2))</f>
        <v/>
      </c>
      <c r="J149" s="8">
        <f>IF(A149="","",A149+Ajustes!$B$3)</f>
        <v/>
      </c>
      <c r="K149" s="3" t="n"/>
      <c r="L149" s="2" t="n"/>
      <c r="M149" s="3" t="n"/>
      <c r="N149" s="3" t="n"/>
    </row>
    <row r="150">
      <c r="A150" s="2" t="n"/>
      <c r="B150" s="3" t="n"/>
      <c r="C150" s="4">
        <f>IF(B150="","",IFERROR(INDEX(Agencias!$A$2:$A$32,MATCH(B150,Agencias!$B$2:$B$32,0)),"¿Agencia nueva?"))</f>
        <v/>
      </c>
      <c r="D150" s="3" t="n"/>
      <c r="E150" s="3" t="n"/>
      <c r="F150" s="3" t="n"/>
      <c r="G150" s="5" t="n"/>
      <c r="H150" s="6">
        <f>IF(G150="","",Ajustes!$B$2)</f>
        <v/>
      </c>
      <c r="I150" s="7">
        <f>IF(G150="","",ROUND(G150*H150,2))</f>
        <v/>
      </c>
      <c r="J150" s="8">
        <f>IF(A150="","",A150+Ajustes!$B$3)</f>
        <v/>
      </c>
      <c r="K150" s="3" t="n"/>
      <c r="L150" s="2" t="n"/>
      <c r="M150" s="3" t="n"/>
      <c r="N150" s="3" t="n"/>
    </row>
    <row r="151">
      <c r="A151" s="2" t="n"/>
      <c r="B151" s="3" t="n"/>
      <c r="C151" s="4">
        <f>IF(B151="","",IFERROR(INDEX(Agencias!$A$2:$A$32,MATCH(B151,Agencias!$B$2:$B$32,0)),"¿Agencia nueva?"))</f>
        <v/>
      </c>
      <c r="D151" s="3" t="n"/>
      <c r="E151" s="3" t="n"/>
      <c r="F151" s="3" t="n"/>
      <c r="G151" s="5" t="n"/>
      <c r="H151" s="6">
        <f>IF(G151="","",Ajustes!$B$2)</f>
        <v/>
      </c>
      <c r="I151" s="7">
        <f>IF(G151="","",ROUND(G151*H151,2))</f>
        <v/>
      </c>
      <c r="J151" s="8">
        <f>IF(A151="","",A151+Ajustes!$B$3)</f>
        <v/>
      </c>
      <c r="K151" s="3" t="n"/>
      <c r="L151" s="2" t="n"/>
      <c r="M151" s="3" t="n"/>
      <c r="N151" s="3" t="n"/>
    </row>
    <row r="152">
      <c r="A152" s="2" t="n"/>
      <c r="B152" s="3" t="n"/>
      <c r="C152" s="4">
        <f>IF(B152="","",IFERROR(INDEX(Agencias!$A$2:$A$32,MATCH(B152,Agencias!$B$2:$B$32,0)),"¿Agencia nueva?"))</f>
        <v/>
      </c>
      <c r="D152" s="3" t="n"/>
      <c r="E152" s="3" t="n"/>
      <c r="F152" s="3" t="n"/>
      <c r="G152" s="5" t="n"/>
      <c r="H152" s="6">
        <f>IF(G152="","",Ajustes!$B$2)</f>
        <v/>
      </c>
      <c r="I152" s="7">
        <f>IF(G152="","",ROUND(G152*H152,2))</f>
        <v/>
      </c>
      <c r="J152" s="8">
        <f>IF(A152="","",A152+Ajustes!$B$3)</f>
        <v/>
      </c>
      <c r="K152" s="3" t="n"/>
      <c r="L152" s="2" t="n"/>
      <c r="M152" s="3" t="n"/>
      <c r="N152" s="3" t="n"/>
    </row>
    <row r="153">
      <c r="A153" s="2" t="n"/>
      <c r="B153" s="3" t="n"/>
      <c r="C153" s="4">
        <f>IF(B153="","",IFERROR(INDEX(Agencias!$A$2:$A$32,MATCH(B153,Agencias!$B$2:$B$32,0)),"¿Agencia nueva?"))</f>
        <v/>
      </c>
      <c r="D153" s="3" t="n"/>
      <c r="E153" s="3" t="n"/>
      <c r="F153" s="3" t="n"/>
      <c r="G153" s="5" t="n"/>
      <c r="H153" s="6">
        <f>IF(G153="","",Ajustes!$B$2)</f>
        <v/>
      </c>
      <c r="I153" s="7">
        <f>IF(G153="","",ROUND(G153*H153,2))</f>
        <v/>
      </c>
      <c r="J153" s="8">
        <f>IF(A153="","",A153+Ajustes!$B$3)</f>
        <v/>
      </c>
      <c r="K153" s="3" t="n"/>
      <c r="L153" s="2" t="n"/>
      <c r="M153" s="3" t="n"/>
      <c r="N153" s="3" t="n"/>
    </row>
    <row r="154">
      <c r="A154" s="2" t="n"/>
      <c r="B154" s="3" t="n"/>
      <c r="C154" s="4">
        <f>IF(B154="","",IFERROR(INDEX(Agencias!$A$2:$A$32,MATCH(B154,Agencias!$B$2:$B$32,0)),"¿Agencia nueva?"))</f>
        <v/>
      </c>
      <c r="D154" s="3" t="n"/>
      <c r="E154" s="3" t="n"/>
      <c r="F154" s="3" t="n"/>
      <c r="G154" s="5" t="n"/>
      <c r="H154" s="6">
        <f>IF(G154="","",Ajustes!$B$2)</f>
        <v/>
      </c>
      <c r="I154" s="7">
        <f>IF(G154="","",ROUND(G154*H154,2))</f>
        <v/>
      </c>
      <c r="J154" s="8">
        <f>IF(A154="","",A154+Ajustes!$B$3)</f>
        <v/>
      </c>
      <c r="K154" s="3" t="n"/>
      <c r="L154" s="2" t="n"/>
      <c r="M154" s="3" t="n"/>
      <c r="N154" s="3" t="n"/>
    </row>
    <row r="155">
      <c r="A155" s="2" t="n"/>
      <c r="B155" s="3" t="n"/>
      <c r="C155" s="4">
        <f>IF(B155="","",IFERROR(INDEX(Agencias!$A$2:$A$32,MATCH(B155,Agencias!$B$2:$B$32,0)),"¿Agencia nueva?"))</f>
        <v/>
      </c>
      <c r="D155" s="3" t="n"/>
      <c r="E155" s="3" t="n"/>
      <c r="F155" s="3" t="n"/>
      <c r="G155" s="5" t="n"/>
      <c r="H155" s="6">
        <f>IF(G155="","",Ajustes!$B$2)</f>
        <v/>
      </c>
      <c r="I155" s="7">
        <f>IF(G155="","",ROUND(G155*H155,2))</f>
        <v/>
      </c>
      <c r="J155" s="8">
        <f>IF(A155="","",A155+Ajustes!$B$3)</f>
        <v/>
      </c>
      <c r="K155" s="3" t="n"/>
      <c r="L155" s="2" t="n"/>
      <c r="M155" s="3" t="n"/>
      <c r="N155" s="3" t="n"/>
    </row>
    <row r="156">
      <c r="A156" s="2" t="n"/>
      <c r="B156" s="3" t="n"/>
      <c r="C156" s="4">
        <f>IF(B156="","",IFERROR(INDEX(Agencias!$A$2:$A$32,MATCH(B156,Agencias!$B$2:$B$32,0)),"¿Agencia nueva?"))</f>
        <v/>
      </c>
      <c r="D156" s="3" t="n"/>
      <c r="E156" s="3" t="n"/>
      <c r="F156" s="3" t="n"/>
      <c r="G156" s="5" t="n"/>
      <c r="H156" s="6">
        <f>IF(G156="","",Ajustes!$B$2)</f>
        <v/>
      </c>
      <c r="I156" s="7">
        <f>IF(G156="","",ROUND(G156*H156,2))</f>
        <v/>
      </c>
      <c r="J156" s="8">
        <f>IF(A156="","",A156+Ajustes!$B$3)</f>
        <v/>
      </c>
      <c r="K156" s="3" t="n"/>
      <c r="L156" s="2" t="n"/>
      <c r="M156" s="3" t="n"/>
      <c r="N156" s="3" t="n"/>
    </row>
    <row r="157">
      <c r="A157" s="2" t="n"/>
      <c r="B157" s="3" t="n"/>
      <c r="C157" s="4">
        <f>IF(B157="","",IFERROR(INDEX(Agencias!$A$2:$A$32,MATCH(B157,Agencias!$B$2:$B$32,0)),"¿Agencia nueva?"))</f>
        <v/>
      </c>
      <c r="D157" s="3" t="n"/>
      <c r="E157" s="3" t="n"/>
      <c r="F157" s="3" t="n"/>
      <c r="G157" s="5" t="n"/>
      <c r="H157" s="6">
        <f>IF(G157="","",Ajustes!$B$2)</f>
        <v/>
      </c>
      <c r="I157" s="7">
        <f>IF(G157="","",ROUND(G157*H157,2))</f>
        <v/>
      </c>
      <c r="J157" s="8">
        <f>IF(A157="","",A157+Ajustes!$B$3)</f>
        <v/>
      </c>
      <c r="K157" s="3" t="n"/>
      <c r="L157" s="2" t="n"/>
      <c r="M157" s="3" t="n"/>
      <c r="N157" s="3" t="n"/>
    </row>
    <row r="158">
      <c r="A158" s="2" t="n"/>
      <c r="B158" s="3" t="n"/>
      <c r="C158" s="4">
        <f>IF(B158="","",IFERROR(INDEX(Agencias!$A$2:$A$32,MATCH(B158,Agencias!$B$2:$B$32,0)),"¿Agencia nueva?"))</f>
        <v/>
      </c>
      <c r="D158" s="3" t="n"/>
      <c r="E158" s="3" t="n"/>
      <c r="F158" s="3" t="n"/>
      <c r="G158" s="5" t="n"/>
      <c r="H158" s="6">
        <f>IF(G158="","",Ajustes!$B$2)</f>
        <v/>
      </c>
      <c r="I158" s="7">
        <f>IF(G158="","",ROUND(G158*H158,2))</f>
        <v/>
      </c>
      <c r="J158" s="8">
        <f>IF(A158="","",A158+Ajustes!$B$3)</f>
        <v/>
      </c>
      <c r="K158" s="3" t="n"/>
      <c r="L158" s="2" t="n"/>
      <c r="M158" s="3" t="n"/>
      <c r="N158" s="3" t="n"/>
    </row>
    <row r="159">
      <c r="A159" s="2" t="n"/>
      <c r="B159" s="3" t="n"/>
      <c r="C159" s="4">
        <f>IF(B159="","",IFERROR(INDEX(Agencias!$A$2:$A$32,MATCH(B159,Agencias!$B$2:$B$32,0)),"¿Agencia nueva?"))</f>
        <v/>
      </c>
      <c r="D159" s="3" t="n"/>
      <c r="E159" s="3" t="n"/>
      <c r="F159" s="3" t="n"/>
      <c r="G159" s="5" t="n"/>
      <c r="H159" s="6">
        <f>IF(G159="","",Ajustes!$B$2)</f>
        <v/>
      </c>
      <c r="I159" s="7">
        <f>IF(G159="","",ROUND(G159*H159,2))</f>
        <v/>
      </c>
      <c r="J159" s="8">
        <f>IF(A159="","",A159+Ajustes!$B$3)</f>
        <v/>
      </c>
      <c r="K159" s="3" t="n"/>
      <c r="L159" s="2" t="n"/>
      <c r="M159" s="3" t="n"/>
      <c r="N159" s="3" t="n"/>
    </row>
    <row r="160">
      <c r="A160" s="2" t="n"/>
      <c r="B160" s="3" t="n"/>
      <c r="C160" s="4">
        <f>IF(B160="","",IFERROR(INDEX(Agencias!$A$2:$A$32,MATCH(B160,Agencias!$B$2:$B$32,0)),"¿Agencia nueva?"))</f>
        <v/>
      </c>
      <c r="D160" s="3" t="n"/>
      <c r="E160" s="3" t="n"/>
      <c r="F160" s="3" t="n"/>
      <c r="G160" s="5" t="n"/>
      <c r="H160" s="6">
        <f>IF(G160="","",Ajustes!$B$2)</f>
        <v/>
      </c>
      <c r="I160" s="7">
        <f>IF(G160="","",ROUND(G160*H160,2))</f>
        <v/>
      </c>
      <c r="J160" s="8">
        <f>IF(A160="","",A160+Ajustes!$B$3)</f>
        <v/>
      </c>
      <c r="K160" s="3" t="n"/>
      <c r="L160" s="2" t="n"/>
      <c r="M160" s="3" t="n"/>
      <c r="N160" s="3" t="n"/>
    </row>
    <row r="161">
      <c r="A161" s="2" t="n"/>
      <c r="B161" s="3" t="n"/>
      <c r="C161" s="4">
        <f>IF(B161="","",IFERROR(INDEX(Agencias!$A$2:$A$32,MATCH(B161,Agencias!$B$2:$B$32,0)),"¿Agencia nueva?"))</f>
        <v/>
      </c>
      <c r="D161" s="3" t="n"/>
      <c r="E161" s="3" t="n"/>
      <c r="F161" s="3" t="n"/>
      <c r="G161" s="5" t="n"/>
      <c r="H161" s="6">
        <f>IF(G161="","",Ajustes!$B$2)</f>
        <v/>
      </c>
      <c r="I161" s="7">
        <f>IF(G161="","",ROUND(G161*H161,2))</f>
        <v/>
      </c>
      <c r="J161" s="8">
        <f>IF(A161="","",A161+Ajustes!$B$3)</f>
        <v/>
      </c>
      <c r="K161" s="3" t="n"/>
      <c r="L161" s="2" t="n"/>
      <c r="M161" s="3" t="n"/>
      <c r="N161" s="3" t="n"/>
    </row>
    <row r="162">
      <c r="A162" s="2" t="n"/>
      <c r="B162" s="3" t="n"/>
      <c r="C162" s="4">
        <f>IF(B162="","",IFERROR(INDEX(Agencias!$A$2:$A$32,MATCH(B162,Agencias!$B$2:$B$32,0)),"¿Agencia nueva?"))</f>
        <v/>
      </c>
      <c r="D162" s="3" t="n"/>
      <c r="E162" s="3" t="n"/>
      <c r="F162" s="3" t="n"/>
      <c r="G162" s="5" t="n"/>
      <c r="H162" s="6">
        <f>IF(G162="","",Ajustes!$B$2)</f>
        <v/>
      </c>
      <c r="I162" s="7">
        <f>IF(G162="","",ROUND(G162*H162,2))</f>
        <v/>
      </c>
      <c r="J162" s="8">
        <f>IF(A162="","",A162+Ajustes!$B$3)</f>
        <v/>
      </c>
      <c r="K162" s="3" t="n"/>
      <c r="L162" s="2" t="n"/>
      <c r="M162" s="3" t="n"/>
      <c r="N162" s="3" t="n"/>
    </row>
    <row r="163">
      <c r="A163" s="2" t="n"/>
      <c r="B163" s="3" t="n"/>
      <c r="C163" s="4">
        <f>IF(B163="","",IFERROR(INDEX(Agencias!$A$2:$A$32,MATCH(B163,Agencias!$B$2:$B$32,0)),"¿Agencia nueva?"))</f>
        <v/>
      </c>
      <c r="D163" s="3" t="n"/>
      <c r="E163" s="3" t="n"/>
      <c r="F163" s="3" t="n"/>
      <c r="G163" s="5" t="n"/>
      <c r="H163" s="6">
        <f>IF(G163="","",Ajustes!$B$2)</f>
        <v/>
      </c>
      <c r="I163" s="7">
        <f>IF(G163="","",ROUND(G163*H163,2))</f>
        <v/>
      </c>
      <c r="J163" s="8">
        <f>IF(A163="","",A163+Ajustes!$B$3)</f>
        <v/>
      </c>
      <c r="K163" s="3" t="n"/>
      <c r="L163" s="2" t="n"/>
      <c r="M163" s="3" t="n"/>
      <c r="N163" s="3" t="n"/>
    </row>
    <row r="164">
      <c r="A164" s="2" t="n"/>
      <c r="B164" s="3" t="n"/>
      <c r="C164" s="4">
        <f>IF(B164="","",IFERROR(INDEX(Agencias!$A$2:$A$32,MATCH(B164,Agencias!$B$2:$B$32,0)),"¿Agencia nueva?"))</f>
        <v/>
      </c>
      <c r="D164" s="3" t="n"/>
      <c r="E164" s="3" t="n"/>
      <c r="F164" s="3" t="n"/>
      <c r="G164" s="5" t="n"/>
      <c r="H164" s="6">
        <f>IF(G164="","",Ajustes!$B$2)</f>
        <v/>
      </c>
      <c r="I164" s="7">
        <f>IF(G164="","",ROUND(G164*H164,2))</f>
        <v/>
      </c>
      <c r="J164" s="8">
        <f>IF(A164="","",A164+Ajustes!$B$3)</f>
        <v/>
      </c>
      <c r="K164" s="3" t="n"/>
      <c r="L164" s="2" t="n"/>
      <c r="M164" s="3" t="n"/>
      <c r="N164" s="3" t="n"/>
    </row>
    <row r="165">
      <c r="A165" s="2" t="n"/>
      <c r="B165" s="3" t="n"/>
      <c r="C165" s="4">
        <f>IF(B165="","",IFERROR(INDEX(Agencias!$A$2:$A$32,MATCH(B165,Agencias!$B$2:$B$32,0)),"¿Agencia nueva?"))</f>
        <v/>
      </c>
      <c r="D165" s="3" t="n"/>
      <c r="E165" s="3" t="n"/>
      <c r="F165" s="3" t="n"/>
      <c r="G165" s="5" t="n"/>
      <c r="H165" s="6">
        <f>IF(G165="","",Ajustes!$B$2)</f>
        <v/>
      </c>
      <c r="I165" s="7">
        <f>IF(G165="","",ROUND(G165*H165,2))</f>
        <v/>
      </c>
      <c r="J165" s="8">
        <f>IF(A165="","",A165+Ajustes!$B$3)</f>
        <v/>
      </c>
      <c r="K165" s="3" t="n"/>
      <c r="L165" s="2" t="n"/>
      <c r="M165" s="3" t="n"/>
      <c r="N165" s="3" t="n"/>
    </row>
    <row r="166">
      <c r="A166" s="2" t="n"/>
      <c r="B166" s="3" t="n"/>
      <c r="C166" s="4">
        <f>IF(B166="","",IFERROR(INDEX(Agencias!$A$2:$A$32,MATCH(B166,Agencias!$B$2:$B$32,0)),"¿Agencia nueva?"))</f>
        <v/>
      </c>
      <c r="D166" s="3" t="n"/>
      <c r="E166" s="3" t="n"/>
      <c r="F166" s="3" t="n"/>
      <c r="G166" s="5" t="n"/>
      <c r="H166" s="6">
        <f>IF(G166="","",Ajustes!$B$2)</f>
        <v/>
      </c>
      <c r="I166" s="7">
        <f>IF(G166="","",ROUND(G166*H166,2))</f>
        <v/>
      </c>
      <c r="J166" s="8">
        <f>IF(A166="","",A166+Ajustes!$B$3)</f>
        <v/>
      </c>
      <c r="K166" s="3" t="n"/>
      <c r="L166" s="2" t="n"/>
      <c r="M166" s="3" t="n"/>
      <c r="N166" s="3" t="n"/>
    </row>
    <row r="167">
      <c r="A167" s="2" t="n"/>
      <c r="B167" s="3" t="n"/>
      <c r="C167" s="4">
        <f>IF(B167="","",IFERROR(INDEX(Agencias!$A$2:$A$32,MATCH(B167,Agencias!$B$2:$B$32,0)),"¿Agencia nueva?"))</f>
        <v/>
      </c>
      <c r="D167" s="3" t="n"/>
      <c r="E167" s="3" t="n"/>
      <c r="F167" s="3" t="n"/>
      <c r="G167" s="5" t="n"/>
      <c r="H167" s="6">
        <f>IF(G167="","",Ajustes!$B$2)</f>
        <v/>
      </c>
      <c r="I167" s="7">
        <f>IF(G167="","",ROUND(G167*H167,2))</f>
        <v/>
      </c>
      <c r="J167" s="8">
        <f>IF(A167="","",A167+Ajustes!$B$3)</f>
        <v/>
      </c>
      <c r="K167" s="3" t="n"/>
      <c r="L167" s="2" t="n"/>
      <c r="M167" s="3" t="n"/>
      <c r="N167" s="3" t="n"/>
    </row>
    <row r="168">
      <c r="A168" s="2" t="n"/>
      <c r="B168" s="3" t="n"/>
      <c r="C168" s="4">
        <f>IF(B168="","",IFERROR(INDEX(Agencias!$A$2:$A$32,MATCH(B168,Agencias!$B$2:$B$32,0)),"¿Agencia nueva?"))</f>
        <v/>
      </c>
      <c r="D168" s="3" t="n"/>
      <c r="E168" s="3" t="n"/>
      <c r="F168" s="3" t="n"/>
      <c r="G168" s="5" t="n"/>
      <c r="H168" s="6">
        <f>IF(G168="","",Ajustes!$B$2)</f>
        <v/>
      </c>
      <c r="I168" s="7">
        <f>IF(G168="","",ROUND(G168*H168,2))</f>
        <v/>
      </c>
      <c r="J168" s="8">
        <f>IF(A168="","",A168+Ajustes!$B$3)</f>
        <v/>
      </c>
      <c r="K168" s="3" t="n"/>
      <c r="L168" s="2" t="n"/>
      <c r="M168" s="3" t="n"/>
      <c r="N168" s="3" t="n"/>
    </row>
    <row r="169">
      <c r="A169" s="2" t="n"/>
      <c r="B169" s="3" t="n"/>
      <c r="C169" s="4">
        <f>IF(B169="","",IFERROR(INDEX(Agencias!$A$2:$A$32,MATCH(B169,Agencias!$B$2:$B$32,0)),"¿Agencia nueva?"))</f>
        <v/>
      </c>
      <c r="D169" s="3" t="n"/>
      <c r="E169" s="3" t="n"/>
      <c r="F169" s="3" t="n"/>
      <c r="G169" s="5" t="n"/>
      <c r="H169" s="6">
        <f>IF(G169="","",Ajustes!$B$2)</f>
        <v/>
      </c>
      <c r="I169" s="7">
        <f>IF(G169="","",ROUND(G169*H169,2))</f>
        <v/>
      </c>
      <c r="J169" s="8">
        <f>IF(A169="","",A169+Ajustes!$B$3)</f>
        <v/>
      </c>
      <c r="K169" s="3" t="n"/>
      <c r="L169" s="2" t="n"/>
      <c r="M169" s="3" t="n"/>
      <c r="N169" s="3" t="n"/>
    </row>
    <row r="170">
      <c r="A170" s="2" t="n"/>
      <c r="B170" s="3" t="n"/>
      <c r="C170" s="4">
        <f>IF(B170="","",IFERROR(INDEX(Agencias!$A$2:$A$32,MATCH(B170,Agencias!$B$2:$B$32,0)),"¿Agencia nueva?"))</f>
        <v/>
      </c>
      <c r="D170" s="3" t="n"/>
      <c r="E170" s="3" t="n"/>
      <c r="F170" s="3" t="n"/>
      <c r="G170" s="5" t="n"/>
      <c r="H170" s="6">
        <f>IF(G170="","",Ajustes!$B$2)</f>
        <v/>
      </c>
      <c r="I170" s="7">
        <f>IF(G170="","",ROUND(G170*H170,2))</f>
        <v/>
      </c>
      <c r="J170" s="8">
        <f>IF(A170="","",A170+Ajustes!$B$3)</f>
        <v/>
      </c>
      <c r="K170" s="3" t="n"/>
      <c r="L170" s="2" t="n"/>
      <c r="M170" s="3" t="n"/>
      <c r="N170" s="3" t="n"/>
    </row>
    <row r="171">
      <c r="A171" s="2" t="n"/>
      <c r="B171" s="3" t="n"/>
      <c r="C171" s="4">
        <f>IF(B171="","",IFERROR(INDEX(Agencias!$A$2:$A$32,MATCH(B171,Agencias!$B$2:$B$32,0)),"¿Agencia nueva?"))</f>
        <v/>
      </c>
      <c r="D171" s="3" t="n"/>
      <c r="E171" s="3" t="n"/>
      <c r="F171" s="3" t="n"/>
      <c r="G171" s="5" t="n"/>
      <c r="H171" s="6">
        <f>IF(G171="","",Ajustes!$B$2)</f>
        <v/>
      </c>
      <c r="I171" s="7">
        <f>IF(G171="","",ROUND(G171*H171,2))</f>
        <v/>
      </c>
      <c r="J171" s="8">
        <f>IF(A171="","",A171+Ajustes!$B$3)</f>
        <v/>
      </c>
      <c r="K171" s="3" t="n"/>
      <c r="L171" s="2" t="n"/>
      <c r="M171" s="3" t="n"/>
      <c r="N171" s="3" t="n"/>
    </row>
    <row r="172">
      <c r="A172" s="2" t="n"/>
      <c r="B172" s="3" t="n"/>
      <c r="C172" s="4">
        <f>IF(B172="","",IFERROR(INDEX(Agencias!$A$2:$A$32,MATCH(B172,Agencias!$B$2:$B$32,0)),"¿Agencia nueva?"))</f>
        <v/>
      </c>
      <c r="D172" s="3" t="n"/>
      <c r="E172" s="3" t="n"/>
      <c r="F172" s="3" t="n"/>
      <c r="G172" s="5" t="n"/>
      <c r="H172" s="6">
        <f>IF(G172="","",Ajustes!$B$2)</f>
        <v/>
      </c>
      <c r="I172" s="7">
        <f>IF(G172="","",ROUND(G172*H172,2))</f>
        <v/>
      </c>
      <c r="J172" s="8">
        <f>IF(A172="","",A172+Ajustes!$B$3)</f>
        <v/>
      </c>
      <c r="K172" s="3" t="n"/>
      <c r="L172" s="2" t="n"/>
      <c r="M172" s="3" t="n"/>
      <c r="N172" s="3" t="n"/>
    </row>
    <row r="173">
      <c r="A173" s="2" t="n"/>
      <c r="B173" s="3" t="n"/>
      <c r="C173" s="4">
        <f>IF(B173="","",IFERROR(INDEX(Agencias!$A$2:$A$32,MATCH(B173,Agencias!$B$2:$B$32,0)),"¿Agencia nueva?"))</f>
        <v/>
      </c>
      <c r="D173" s="3" t="n"/>
      <c r="E173" s="3" t="n"/>
      <c r="F173" s="3" t="n"/>
      <c r="G173" s="5" t="n"/>
      <c r="H173" s="6">
        <f>IF(G173="","",Ajustes!$B$2)</f>
        <v/>
      </c>
      <c r="I173" s="7">
        <f>IF(G173="","",ROUND(G173*H173,2))</f>
        <v/>
      </c>
      <c r="J173" s="8">
        <f>IF(A173="","",A173+Ajustes!$B$3)</f>
        <v/>
      </c>
      <c r="K173" s="3" t="n"/>
      <c r="L173" s="2" t="n"/>
      <c r="M173" s="3" t="n"/>
      <c r="N173" s="3" t="n"/>
    </row>
    <row r="174">
      <c r="A174" s="2" t="n"/>
      <c r="B174" s="3" t="n"/>
      <c r="C174" s="4">
        <f>IF(B174="","",IFERROR(INDEX(Agencias!$A$2:$A$32,MATCH(B174,Agencias!$B$2:$B$32,0)),"¿Agencia nueva?"))</f>
        <v/>
      </c>
      <c r="D174" s="3" t="n"/>
      <c r="E174" s="3" t="n"/>
      <c r="F174" s="3" t="n"/>
      <c r="G174" s="5" t="n"/>
      <c r="H174" s="6">
        <f>IF(G174="","",Ajustes!$B$2)</f>
        <v/>
      </c>
      <c r="I174" s="7">
        <f>IF(G174="","",ROUND(G174*H174,2))</f>
        <v/>
      </c>
      <c r="J174" s="8">
        <f>IF(A174="","",A174+Ajustes!$B$3)</f>
        <v/>
      </c>
      <c r="K174" s="3" t="n"/>
      <c r="L174" s="2" t="n"/>
      <c r="M174" s="3" t="n"/>
      <c r="N174" s="3" t="n"/>
    </row>
    <row r="175">
      <c r="A175" s="2" t="n"/>
      <c r="B175" s="3" t="n"/>
      <c r="C175" s="4">
        <f>IF(B175="","",IFERROR(INDEX(Agencias!$A$2:$A$32,MATCH(B175,Agencias!$B$2:$B$32,0)),"¿Agencia nueva?"))</f>
        <v/>
      </c>
      <c r="D175" s="3" t="n"/>
      <c r="E175" s="3" t="n"/>
      <c r="F175" s="3" t="n"/>
      <c r="G175" s="5" t="n"/>
      <c r="H175" s="6">
        <f>IF(G175="","",Ajustes!$B$2)</f>
        <v/>
      </c>
      <c r="I175" s="7">
        <f>IF(G175="","",ROUND(G175*H175,2))</f>
        <v/>
      </c>
      <c r="J175" s="8">
        <f>IF(A175="","",A175+Ajustes!$B$3)</f>
        <v/>
      </c>
      <c r="K175" s="3" t="n"/>
      <c r="L175" s="2" t="n"/>
      <c r="M175" s="3" t="n"/>
      <c r="N175" s="3" t="n"/>
    </row>
    <row r="176">
      <c r="A176" s="2" t="n"/>
      <c r="B176" s="3" t="n"/>
      <c r="C176" s="4">
        <f>IF(B176="","",IFERROR(INDEX(Agencias!$A$2:$A$32,MATCH(B176,Agencias!$B$2:$B$32,0)),"¿Agencia nueva?"))</f>
        <v/>
      </c>
      <c r="D176" s="3" t="n"/>
      <c r="E176" s="3" t="n"/>
      <c r="F176" s="3" t="n"/>
      <c r="G176" s="5" t="n"/>
      <c r="H176" s="6">
        <f>IF(G176="","",Ajustes!$B$2)</f>
        <v/>
      </c>
      <c r="I176" s="7">
        <f>IF(G176="","",ROUND(G176*H176,2))</f>
        <v/>
      </c>
      <c r="J176" s="8">
        <f>IF(A176="","",A176+Ajustes!$B$3)</f>
        <v/>
      </c>
      <c r="K176" s="3" t="n"/>
      <c r="L176" s="2" t="n"/>
      <c r="M176" s="3" t="n"/>
      <c r="N176" s="3" t="n"/>
    </row>
    <row r="177">
      <c r="A177" s="2" t="n"/>
      <c r="B177" s="3" t="n"/>
      <c r="C177" s="4">
        <f>IF(B177="","",IFERROR(INDEX(Agencias!$A$2:$A$32,MATCH(B177,Agencias!$B$2:$B$32,0)),"¿Agencia nueva?"))</f>
        <v/>
      </c>
      <c r="D177" s="3" t="n"/>
      <c r="E177" s="3" t="n"/>
      <c r="F177" s="3" t="n"/>
      <c r="G177" s="5" t="n"/>
      <c r="H177" s="6">
        <f>IF(G177="","",Ajustes!$B$2)</f>
        <v/>
      </c>
      <c r="I177" s="7">
        <f>IF(G177="","",ROUND(G177*H177,2))</f>
        <v/>
      </c>
      <c r="J177" s="8">
        <f>IF(A177="","",A177+Ajustes!$B$3)</f>
        <v/>
      </c>
      <c r="K177" s="3" t="n"/>
      <c r="L177" s="2" t="n"/>
      <c r="M177" s="3" t="n"/>
      <c r="N177" s="3" t="n"/>
    </row>
    <row r="178">
      <c r="A178" s="2" t="n"/>
      <c r="B178" s="3" t="n"/>
      <c r="C178" s="4">
        <f>IF(B178="","",IFERROR(INDEX(Agencias!$A$2:$A$32,MATCH(B178,Agencias!$B$2:$B$32,0)),"¿Agencia nueva?"))</f>
        <v/>
      </c>
      <c r="D178" s="3" t="n"/>
      <c r="E178" s="3" t="n"/>
      <c r="F178" s="3" t="n"/>
      <c r="G178" s="5" t="n"/>
      <c r="H178" s="6">
        <f>IF(G178="","",Ajustes!$B$2)</f>
        <v/>
      </c>
      <c r="I178" s="7">
        <f>IF(G178="","",ROUND(G178*H178,2))</f>
        <v/>
      </c>
      <c r="J178" s="8">
        <f>IF(A178="","",A178+Ajustes!$B$3)</f>
        <v/>
      </c>
      <c r="K178" s="3" t="n"/>
      <c r="L178" s="2" t="n"/>
      <c r="M178" s="3" t="n"/>
      <c r="N178" s="3" t="n"/>
    </row>
    <row r="179">
      <c r="A179" s="2" t="n"/>
      <c r="B179" s="3" t="n"/>
      <c r="C179" s="4">
        <f>IF(B179="","",IFERROR(INDEX(Agencias!$A$2:$A$32,MATCH(B179,Agencias!$B$2:$B$32,0)),"¿Agencia nueva?"))</f>
        <v/>
      </c>
      <c r="D179" s="3" t="n"/>
      <c r="E179" s="3" t="n"/>
      <c r="F179" s="3" t="n"/>
      <c r="G179" s="5" t="n"/>
      <c r="H179" s="6">
        <f>IF(G179="","",Ajustes!$B$2)</f>
        <v/>
      </c>
      <c r="I179" s="7">
        <f>IF(G179="","",ROUND(G179*H179,2))</f>
        <v/>
      </c>
      <c r="J179" s="8">
        <f>IF(A179="","",A179+Ajustes!$B$3)</f>
        <v/>
      </c>
      <c r="K179" s="3" t="n"/>
      <c r="L179" s="2" t="n"/>
      <c r="M179" s="3" t="n"/>
      <c r="N179" s="3" t="n"/>
    </row>
    <row r="180">
      <c r="A180" s="2" t="n"/>
      <c r="B180" s="3" t="n"/>
      <c r="C180" s="4">
        <f>IF(B180="","",IFERROR(INDEX(Agencias!$A$2:$A$32,MATCH(B180,Agencias!$B$2:$B$32,0)),"¿Agencia nueva?"))</f>
        <v/>
      </c>
      <c r="D180" s="3" t="n"/>
      <c r="E180" s="3" t="n"/>
      <c r="F180" s="3" t="n"/>
      <c r="G180" s="5" t="n"/>
      <c r="H180" s="6">
        <f>IF(G180="","",Ajustes!$B$2)</f>
        <v/>
      </c>
      <c r="I180" s="7">
        <f>IF(G180="","",ROUND(G180*H180,2))</f>
        <v/>
      </c>
      <c r="J180" s="8">
        <f>IF(A180="","",A180+Ajustes!$B$3)</f>
        <v/>
      </c>
      <c r="K180" s="3" t="n"/>
      <c r="L180" s="2" t="n"/>
      <c r="M180" s="3" t="n"/>
      <c r="N180" s="3" t="n"/>
    </row>
    <row r="181">
      <c r="A181" s="2" t="n"/>
      <c r="B181" s="3" t="n"/>
      <c r="C181" s="4">
        <f>IF(B181="","",IFERROR(INDEX(Agencias!$A$2:$A$32,MATCH(B181,Agencias!$B$2:$B$32,0)),"¿Agencia nueva?"))</f>
        <v/>
      </c>
      <c r="D181" s="3" t="n"/>
      <c r="E181" s="3" t="n"/>
      <c r="F181" s="3" t="n"/>
      <c r="G181" s="5" t="n"/>
      <c r="H181" s="6">
        <f>IF(G181="","",Ajustes!$B$2)</f>
        <v/>
      </c>
      <c r="I181" s="7">
        <f>IF(G181="","",ROUND(G181*H181,2))</f>
        <v/>
      </c>
      <c r="J181" s="8">
        <f>IF(A181="","",A181+Ajustes!$B$3)</f>
        <v/>
      </c>
      <c r="K181" s="3" t="n"/>
      <c r="L181" s="2" t="n"/>
      <c r="M181" s="3" t="n"/>
      <c r="N181" s="3" t="n"/>
    </row>
    <row r="182">
      <c r="A182" s="2" t="n"/>
      <c r="B182" s="3" t="n"/>
      <c r="C182" s="4">
        <f>IF(B182="","",IFERROR(INDEX(Agencias!$A$2:$A$32,MATCH(B182,Agencias!$B$2:$B$32,0)),"¿Agencia nueva?"))</f>
        <v/>
      </c>
      <c r="D182" s="3" t="n"/>
      <c r="E182" s="3" t="n"/>
      <c r="F182" s="3" t="n"/>
      <c r="G182" s="5" t="n"/>
      <c r="H182" s="6">
        <f>IF(G182="","",Ajustes!$B$2)</f>
        <v/>
      </c>
      <c r="I182" s="7">
        <f>IF(G182="","",ROUND(G182*H182,2))</f>
        <v/>
      </c>
      <c r="J182" s="8">
        <f>IF(A182="","",A182+Ajustes!$B$3)</f>
        <v/>
      </c>
      <c r="K182" s="3" t="n"/>
      <c r="L182" s="2" t="n"/>
      <c r="M182" s="3" t="n"/>
      <c r="N182" s="3" t="n"/>
    </row>
    <row r="183">
      <c r="A183" s="2" t="n"/>
      <c r="B183" s="3" t="n"/>
      <c r="C183" s="4">
        <f>IF(B183="","",IFERROR(INDEX(Agencias!$A$2:$A$32,MATCH(B183,Agencias!$B$2:$B$32,0)),"¿Agencia nueva?"))</f>
        <v/>
      </c>
      <c r="D183" s="3" t="n"/>
      <c r="E183" s="3" t="n"/>
      <c r="F183" s="3" t="n"/>
      <c r="G183" s="5" t="n"/>
      <c r="H183" s="6">
        <f>IF(G183="","",Ajustes!$B$2)</f>
        <v/>
      </c>
      <c r="I183" s="7">
        <f>IF(G183="","",ROUND(G183*H183,2))</f>
        <v/>
      </c>
      <c r="J183" s="8">
        <f>IF(A183="","",A183+Ajustes!$B$3)</f>
        <v/>
      </c>
      <c r="K183" s="3" t="n"/>
      <c r="L183" s="2" t="n"/>
      <c r="M183" s="3" t="n"/>
      <c r="N183" s="3" t="n"/>
    </row>
    <row r="184">
      <c r="A184" s="2" t="n"/>
      <c r="B184" s="3" t="n"/>
      <c r="C184" s="4">
        <f>IF(B184="","",IFERROR(INDEX(Agencias!$A$2:$A$32,MATCH(B184,Agencias!$B$2:$B$32,0)),"¿Agencia nueva?"))</f>
        <v/>
      </c>
      <c r="D184" s="3" t="n"/>
      <c r="E184" s="3" t="n"/>
      <c r="F184" s="3" t="n"/>
      <c r="G184" s="5" t="n"/>
      <c r="H184" s="6">
        <f>IF(G184="","",Ajustes!$B$2)</f>
        <v/>
      </c>
      <c r="I184" s="7">
        <f>IF(G184="","",ROUND(G184*H184,2))</f>
        <v/>
      </c>
      <c r="J184" s="8">
        <f>IF(A184="","",A184+Ajustes!$B$3)</f>
        <v/>
      </c>
      <c r="K184" s="3" t="n"/>
      <c r="L184" s="2" t="n"/>
      <c r="M184" s="3" t="n"/>
      <c r="N184" s="3" t="n"/>
    </row>
    <row r="185">
      <c r="A185" s="2" t="n"/>
      <c r="B185" s="3" t="n"/>
      <c r="C185" s="4">
        <f>IF(B185="","",IFERROR(INDEX(Agencias!$A$2:$A$32,MATCH(B185,Agencias!$B$2:$B$32,0)),"¿Agencia nueva?"))</f>
        <v/>
      </c>
      <c r="D185" s="3" t="n"/>
      <c r="E185" s="3" t="n"/>
      <c r="F185" s="3" t="n"/>
      <c r="G185" s="5" t="n"/>
      <c r="H185" s="6">
        <f>IF(G185="","",Ajustes!$B$2)</f>
        <v/>
      </c>
      <c r="I185" s="7">
        <f>IF(G185="","",ROUND(G185*H185,2))</f>
        <v/>
      </c>
      <c r="J185" s="8">
        <f>IF(A185="","",A185+Ajustes!$B$3)</f>
        <v/>
      </c>
      <c r="K185" s="3" t="n"/>
      <c r="L185" s="2" t="n"/>
      <c r="M185" s="3" t="n"/>
      <c r="N185" s="3" t="n"/>
    </row>
    <row r="186">
      <c r="A186" s="2" t="n"/>
      <c r="B186" s="3" t="n"/>
      <c r="C186" s="4">
        <f>IF(B186="","",IFERROR(INDEX(Agencias!$A$2:$A$32,MATCH(B186,Agencias!$B$2:$B$32,0)),"¿Agencia nueva?"))</f>
        <v/>
      </c>
      <c r="D186" s="3" t="n"/>
      <c r="E186" s="3" t="n"/>
      <c r="F186" s="3" t="n"/>
      <c r="G186" s="5" t="n"/>
      <c r="H186" s="6">
        <f>IF(G186="","",Ajustes!$B$2)</f>
        <v/>
      </c>
      <c r="I186" s="7">
        <f>IF(G186="","",ROUND(G186*H186,2))</f>
        <v/>
      </c>
      <c r="J186" s="8">
        <f>IF(A186="","",A186+Ajustes!$B$3)</f>
        <v/>
      </c>
      <c r="K186" s="3" t="n"/>
      <c r="L186" s="2" t="n"/>
      <c r="M186" s="3" t="n"/>
      <c r="N186" s="3" t="n"/>
    </row>
    <row r="187">
      <c r="A187" s="2" t="n"/>
      <c r="B187" s="3" t="n"/>
      <c r="C187" s="4">
        <f>IF(B187="","",IFERROR(INDEX(Agencias!$A$2:$A$32,MATCH(B187,Agencias!$B$2:$B$32,0)),"¿Agencia nueva?"))</f>
        <v/>
      </c>
      <c r="D187" s="3" t="n"/>
      <c r="E187" s="3" t="n"/>
      <c r="F187" s="3" t="n"/>
      <c r="G187" s="5" t="n"/>
      <c r="H187" s="6">
        <f>IF(G187="","",Ajustes!$B$2)</f>
        <v/>
      </c>
      <c r="I187" s="7">
        <f>IF(G187="","",ROUND(G187*H187,2))</f>
        <v/>
      </c>
      <c r="J187" s="8">
        <f>IF(A187="","",A187+Ajustes!$B$3)</f>
        <v/>
      </c>
      <c r="K187" s="3" t="n"/>
      <c r="L187" s="2" t="n"/>
      <c r="M187" s="3" t="n"/>
      <c r="N187" s="3" t="n"/>
    </row>
    <row r="188">
      <c r="A188" s="2" t="n"/>
      <c r="B188" s="3" t="n"/>
      <c r="C188" s="4">
        <f>IF(B188="","",IFERROR(INDEX(Agencias!$A$2:$A$32,MATCH(B188,Agencias!$B$2:$B$32,0)),"¿Agencia nueva?"))</f>
        <v/>
      </c>
      <c r="D188" s="3" t="n"/>
      <c r="E188" s="3" t="n"/>
      <c r="F188" s="3" t="n"/>
      <c r="G188" s="5" t="n"/>
      <c r="H188" s="6">
        <f>IF(G188="","",Ajustes!$B$2)</f>
        <v/>
      </c>
      <c r="I188" s="7">
        <f>IF(G188="","",ROUND(G188*H188,2))</f>
        <v/>
      </c>
      <c r="J188" s="8">
        <f>IF(A188="","",A188+Ajustes!$B$3)</f>
        <v/>
      </c>
      <c r="K188" s="3" t="n"/>
      <c r="L188" s="2" t="n"/>
      <c r="M188" s="3" t="n"/>
      <c r="N188" s="3" t="n"/>
    </row>
    <row r="189">
      <c r="A189" s="2" t="n"/>
      <c r="B189" s="3" t="n"/>
      <c r="C189" s="4">
        <f>IF(B189="","",IFERROR(INDEX(Agencias!$A$2:$A$32,MATCH(B189,Agencias!$B$2:$B$32,0)),"¿Agencia nueva?"))</f>
        <v/>
      </c>
      <c r="D189" s="3" t="n"/>
      <c r="E189" s="3" t="n"/>
      <c r="F189" s="3" t="n"/>
      <c r="G189" s="5" t="n"/>
      <c r="H189" s="6">
        <f>IF(G189="","",Ajustes!$B$2)</f>
        <v/>
      </c>
      <c r="I189" s="7">
        <f>IF(G189="","",ROUND(G189*H189,2))</f>
        <v/>
      </c>
      <c r="J189" s="8">
        <f>IF(A189="","",A189+Ajustes!$B$3)</f>
        <v/>
      </c>
      <c r="K189" s="3" t="n"/>
      <c r="L189" s="2" t="n"/>
      <c r="M189" s="3" t="n"/>
      <c r="N189" s="3" t="n"/>
    </row>
    <row r="190">
      <c r="A190" s="2" t="n"/>
      <c r="B190" s="3" t="n"/>
      <c r="C190" s="4">
        <f>IF(B190="","",IFERROR(INDEX(Agencias!$A$2:$A$32,MATCH(B190,Agencias!$B$2:$B$32,0)),"¿Agencia nueva?"))</f>
        <v/>
      </c>
      <c r="D190" s="3" t="n"/>
      <c r="E190" s="3" t="n"/>
      <c r="F190" s="3" t="n"/>
      <c r="G190" s="5" t="n"/>
      <c r="H190" s="6">
        <f>IF(G190="","",Ajustes!$B$2)</f>
        <v/>
      </c>
      <c r="I190" s="7">
        <f>IF(G190="","",ROUND(G190*H190,2))</f>
        <v/>
      </c>
      <c r="J190" s="8">
        <f>IF(A190="","",A190+Ajustes!$B$3)</f>
        <v/>
      </c>
      <c r="K190" s="3" t="n"/>
      <c r="L190" s="2" t="n"/>
      <c r="M190" s="3" t="n"/>
      <c r="N190" s="3" t="n"/>
    </row>
    <row r="191">
      <c r="A191" s="2" t="n"/>
      <c r="B191" s="3" t="n"/>
      <c r="C191" s="4">
        <f>IF(B191="","",IFERROR(INDEX(Agencias!$A$2:$A$32,MATCH(B191,Agencias!$B$2:$B$32,0)),"¿Agencia nueva?"))</f>
        <v/>
      </c>
      <c r="D191" s="3" t="n"/>
      <c r="E191" s="3" t="n"/>
      <c r="F191" s="3" t="n"/>
      <c r="G191" s="5" t="n"/>
      <c r="H191" s="6">
        <f>IF(G191="","",Ajustes!$B$2)</f>
        <v/>
      </c>
      <c r="I191" s="7">
        <f>IF(G191="","",ROUND(G191*H191,2))</f>
        <v/>
      </c>
      <c r="J191" s="8">
        <f>IF(A191="","",A191+Ajustes!$B$3)</f>
        <v/>
      </c>
      <c r="K191" s="3" t="n"/>
      <c r="L191" s="2" t="n"/>
      <c r="M191" s="3" t="n"/>
      <c r="N191" s="3" t="n"/>
    </row>
    <row r="192">
      <c r="A192" s="2" t="n"/>
      <c r="B192" s="3" t="n"/>
      <c r="C192" s="4">
        <f>IF(B192="","",IFERROR(INDEX(Agencias!$A$2:$A$32,MATCH(B192,Agencias!$B$2:$B$32,0)),"¿Agencia nueva?"))</f>
        <v/>
      </c>
      <c r="D192" s="3" t="n"/>
      <c r="E192" s="3" t="n"/>
      <c r="F192" s="3" t="n"/>
      <c r="G192" s="5" t="n"/>
      <c r="H192" s="6">
        <f>IF(G192="","",Ajustes!$B$2)</f>
        <v/>
      </c>
      <c r="I192" s="7">
        <f>IF(G192="","",ROUND(G192*H192,2))</f>
        <v/>
      </c>
      <c r="J192" s="8">
        <f>IF(A192="","",A192+Ajustes!$B$3)</f>
        <v/>
      </c>
      <c r="K192" s="3" t="n"/>
      <c r="L192" s="2" t="n"/>
      <c r="M192" s="3" t="n"/>
      <c r="N192" s="3" t="n"/>
    </row>
    <row r="193">
      <c r="A193" s="2" t="n"/>
      <c r="B193" s="3" t="n"/>
      <c r="C193" s="4">
        <f>IF(B193="","",IFERROR(INDEX(Agencias!$A$2:$A$32,MATCH(B193,Agencias!$B$2:$B$32,0)),"¿Agencia nueva?"))</f>
        <v/>
      </c>
      <c r="D193" s="3" t="n"/>
      <c r="E193" s="3" t="n"/>
      <c r="F193" s="3" t="n"/>
      <c r="G193" s="5" t="n"/>
      <c r="H193" s="6">
        <f>IF(G193="","",Ajustes!$B$2)</f>
        <v/>
      </c>
      <c r="I193" s="7">
        <f>IF(G193="","",ROUND(G193*H193,2))</f>
        <v/>
      </c>
      <c r="J193" s="8">
        <f>IF(A193="","",A193+Ajustes!$B$3)</f>
        <v/>
      </c>
      <c r="K193" s="3" t="n"/>
      <c r="L193" s="2" t="n"/>
      <c r="M193" s="3" t="n"/>
      <c r="N193" s="3" t="n"/>
    </row>
    <row r="194">
      <c r="A194" s="2" t="n"/>
      <c r="B194" s="3" t="n"/>
      <c r="C194" s="4">
        <f>IF(B194="","",IFERROR(INDEX(Agencias!$A$2:$A$32,MATCH(B194,Agencias!$B$2:$B$32,0)),"¿Agencia nueva?"))</f>
        <v/>
      </c>
      <c r="D194" s="3" t="n"/>
      <c r="E194" s="3" t="n"/>
      <c r="F194" s="3" t="n"/>
      <c r="G194" s="5" t="n"/>
      <c r="H194" s="6">
        <f>IF(G194="","",Ajustes!$B$2)</f>
        <v/>
      </c>
      <c r="I194" s="7">
        <f>IF(G194="","",ROUND(G194*H194,2))</f>
        <v/>
      </c>
      <c r="J194" s="8">
        <f>IF(A194="","",A194+Ajustes!$B$3)</f>
        <v/>
      </c>
      <c r="K194" s="3" t="n"/>
      <c r="L194" s="2" t="n"/>
      <c r="M194" s="3" t="n"/>
      <c r="N194" s="3" t="n"/>
    </row>
    <row r="195">
      <c r="A195" s="2" t="n"/>
      <c r="B195" s="3" t="n"/>
      <c r="C195" s="4">
        <f>IF(B195="","",IFERROR(INDEX(Agencias!$A$2:$A$32,MATCH(B195,Agencias!$B$2:$B$32,0)),"¿Agencia nueva?"))</f>
        <v/>
      </c>
      <c r="D195" s="3" t="n"/>
      <c r="E195" s="3" t="n"/>
      <c r="F195" s="3" t="n"/>
      <c r="G195" s="5" t="n"/>
      <c r="H195" s="6">
        <f>IF(G195="","",Ajustes!$B$2)</f>
        <v/>
      </c>
      <c r="I195" s="7">
        <f>IF(G195="","",ROUND(G195*H195,2))</f>
        <v/>
      </c>
      <c r="J195" s="8">
        <f>IF(A195="","",A195+Ajustes!$B$3)</f>
        <v/>
      </c>
      <c r="K195" s="3" t="n"/>
      <c r="L195" s="2" t="n"/>
      <c r="M195" s="3" t="n"/>
      <c r="N195" s="3" t="n"/>
    </row>
    <row r="196">
      <c r="A196" s="2" t="n"/>
      <c r="B196" s="3" t="n"/>
      <c r="C196" s="4">
        <f>IF(B196="","",IFERROR(INDEX(Agencias!$A$2:$A$32,MATCH(B196,Agencias!$B$2:$B$32,0)),"¿Agencia nueva?"))</f>
        <v/>
      </c>
      <c r="D196" s="3" t="n"/>
      <c r="E196" s="3" t="n"/>
      <c r="F196" s="3" t="n"/>
      <c r="G196" s="5" t="n"/>
      <c r="H196" s="6">
        <f>IF(G196="","",Ajustes!$B$2)</f>
        <v/>
      </c>
      <c r="I196" s="7">
        <f>IF(G196="","",ROUND(G196*H196,2))</f>
        <v/>
      </c>
      <c r="J196" s="8">
        <f>IF(A196="","",A196+Ajustes!$B$3)</f>
        <v/>
      </c>
      <c r="K196" s="3" t="n"/>
      <c r="L196" s="2" t="n"/>
      <c r="M196" s="3" t="n"/>
      <c r="N196" s="3" t="n"/>
    </row>
    <row r="197">
      <c r="A197" s="2" t="n"/>
      <c r="B197" s="3" t="n"/>
      <c r="C197" s="4">
        <f>IF(B197="","",IFERROR(INDEX(Agencias!$A$2:$A$32,MATCH(B197,Agencias!$B$2:$B$32,0)),"¿Agencia nueva?"))</f>
        <v/>
      </c>
      <c r="D197" s="3" t="n"/>
      <c r="E197" s="3" t="n"/>
      <c r="F197" s="3" t="n"/>
      <c r="G197" s="5" t="n"/>
      <c r="H197" s="6">
        <f>IF(G197="","",Ajustes!$B$2)</f>
        <v/>
      </c>
      <c r="I197" s="7">
        <f>IF(G197="","",ROUND(G197*H197,2))</f>
        <v/>
      </c>
      <c r="J197" s="8">
        <f>IF(A197="","",A197+Ajustes!$B$3)</f>
        <v/>
      </c>
      <c r="K197" s="3" t="n"/>
      <c r="L197" s="2" t="n"/>
      <c r="M197" s="3" t="n"/>
      <c r="N197" s="3" t="n"/>
    </row>
    <row r="198">
      <c r="A198" s="2" t="n"/>
      <c r="B198" s="3" t="n"/>
      <c r="C198" s="4">
        <f>IF(B198="","",IFERROR(INDEX(Agencias!$A$2:$A$32,MATCH(B198,Agencias!$B$2:$B$32,0)),"¿Agencia nueva?"))</f>
        <v/>
      </c>
      <c r="D198" s="3" t="n"/>
      <c r="E198" s="3" t="n"/>
      <c r="F198" s="3" t="n"/>
      <c r="G198" s="5" t="n"/>
      <c r="H198" s="6">
        <f>IF(G198="","",Ajustes!$B$2)</f>
        <v/>
      </c>
      <c r="I198" s="7">
        <f>IF(G198="","",ROUND(G198*H198,2))</f>
        <v/>
      </c>
      <c r="J198" s="8">
        <f>IF(A198="","",A198+Ajustes!$B$3)</f>
        <v/>
      </c>
      <c r="K198" s="3" t="n"/>
      <c r="L198" s="2" t="n"/>
      <c r="M198" s="3" t="n"/>
      <c r="N198" s="3" t="n"/>
    </row>
    <row r="199">
      <c r="A199" s="2" t="n"/>
      <c r="B199" s="3" t="n"/>
      <c r="C199" s="4">
        <f>IF(B199="","",IFERROR(INDEX(Agencias!$A$2:$A$32,MATCH(B199,Agencias!$B$2:$B$32,0)),"¿Agencia nueva?"))</f>
        <v/>
      </c>
      <c r="D199" s="3" t="n"/>
      <c r="E199" s="3" t="n"/>
      <c r="F199" s="3" t="n"/>
      <c r="G199" s="5" t="n"/>
      <c r="H199" s="6">
        <f>IF(G199="","",Ajustes!$B$2)</f>
        <v/>
      </c>
      <c r="I199" s="7">
        <f>IF(G199="","",ROUND(G199*H199,2))</f>
        <v/>
      </c>
      <c r="J199" s="8">
        <f>IF(A199="","",A199+Ajustes!$B$3)</f>
        <v/>
      </c>
      <c r="K199" s="3" t="n"/>
      <c r="L199" s="2" t="n"/>
      <c r="M199" s="3" t="n"/>
      <c r="N199" s="3" t="n"/>
    </row>
    <row r="200">
      <c r="A200" s="2" t="n"/>
      <c r="B200" s="3" t="n"/>
      <c r="C200" s="4">
        <f>IF(B200="","",IFERROR(INDEX(Agencias!$A$2:$A$32,MATCH(B200,Agencias!$B$2:$B$32,0)),"¿Agencia nueva?"))</f>
        <v/>
      </c>
      <c r="D200" s="3" t="n"/>
      <c r="E200" s="3" t="n"/>
      <c r="F200" s="3" t="n"/>
      <c r="G200" s="5" t="n"/>
      <c r="H200" s="6">
        <f>IF(G200="","",Ajustes!$B$2)</f>
        <v/>
      </c>
      <c r="I200" s="7">
        <f>IF(G200="","",ROUND(G200*H200,2))</f>
        <v/>
      </c>
      <c r="J200" s="8">
        <f>IF(A200="","",A200+Ajustes!$B$3)</f>
        <v/>
      </c>
      <c r="K200" s="3" t="n"/>
      <c r="L200" s="2" t="n"/>
      <c r="M200" s="3" t="n"/>
      <c r="N200" s="3" t="n"/>
    </row>
    <row r="201">
      <c r="A201" s="2" t="n"/>
      <c r="B201" s="3" t="n"/>
      <c r="C201" s="4">
        <f>IF(B201="","",IFERROR(INDEX(Agencias!$A$2:$A$32,MATCH(B201,Agencias!$B$2:$B$32,0)),"¿Agencia nueva?"))</f>
        <v/>
      </c>
      <c r="D201" s="3" t="n"/>
      <c r="E201" s="3" t="n"/>
      <c r="F201" s="3" t="n"/>
      <c r="G201" s="5" t="n"/>
      <c r="H201" s="6">
        <f>IF(G201="","",Ajustes!$B$2)</f>
        <v/>
      </c>
      <c r="I201" s="7">
        <f>IF(G201="","",ROUND(G201*H201,2))</f>
        <v/>
      </c>
      <c r="J201" s="8">
        <f>IF(A201="","",A201+Ajustes!$B$3)</f>
        <v/>
      </c>
      <c r="K201" s="3" t="n"/>
      <c r="L201" s="2" t="n"/>
      <c r="M201" s="3" t="n"/>
      <c r="N201" s="3" t="n"/>
    </row>
    <row r="202">
      <c r="A202" s="2" t="n"/>
      <c r="B202" s="3" t="n"/>
      <c r="C202" s="4">
        <f>IF(B202="","",IFERROR(INDEX(Agencias!$A$2:$A$32,MATCH(B202,Agencias!$B$2:$B$32,0)),"¿Agencia nueva?"))</f>
        <v/>
      </c>
      <c r="D202" s="3" t="n"/>
      <c r="E202" s="3" t="n"/>
      <c r="F202" s="3" t="n"/>
      <c r="G202" s="5" t="n"/>
      <c r="H202" s="6">
        <f>IF(G202="","",Ajustes!$B$2)</f>
        <v/>
      </c>
      <c r="I202" s="7">
        <f>IF(G202="","",ROUND(G202*H202,2))</f>
        <v/>
      </c>
      <c r="J202" s="8">
        <f>IF(A202="","",A202+Ajustes!$B$3)</f>
        <v/>
      </c>
      <c r="K202" s="3" t="n"/>
      <c r="L202" s="2" t="n"/>
      <c r="M202" s="3" t="n"/>
      <c r="N202" s="3" t="n"/>
    </row>
    <row r="203">
      <c r="A203" s="2" t="n"/>
      <c r="B203" s="3" t="n"/>
      <c r="C203" s="4">
        <f>IF(B203="","",IFERROR(INDEX(Agencias!$A$2:$A$32,MATCH(B203,Agencias!$B$2:$B$32,0)),"¿Agencia nueva?"))</f>
        <v/>
      </c>
      <c r="D203" s="3" t="n"/>
      <c r="E203" s="3" t="n"/>
      <c r="F203" s="3" t="n"/>
      <c r="G203" s="5" t="n"/>
      <c r="H203" s="6">
        <f>IF(G203="","",Ajustes!$B$2)</f>
        <v/>
      </c>
      <c r="I203" s="7">
        <f>IF(G203="","",ROUND(G203*H203,2))</f>
        <v/>
      </c>
      <c r="J203" s="8">
        <f>IF(A203="","",A203+Ajustes!$B$3)</f>
        <v/>
      </c>
      <c r="K203" s="3" t="n"/>
      <c r="L203" s="2" t="n"/>
      <c r="M203" s="3" t="n"/>
      <c r="N203" s="3" t="n"/>
    </row>
    <row r="204">
      <c r="A204" s="2" t="n"/>
      <c r="B204" s="3" t="n"/>
      <c r="C204" s="4">
        <f>IF(B204="","",IFERROR(INDEX(Agencias!$A$2:$A$32,MATCH(B204,Agencias!$B$2:$B$32,0)),"¿Agencia nueva?"))</f>
        <v/>
      </c>
      <c r="D204" s="3" t="n"/>
      <c r="E204" s="3" t="n"/>
      <c r="F204" s="3" t="n"/>
      <c r="G204" s="5" t="n"/>
      <c r="H204" s="6">
        <f>IF(G204="","",Ajustes!$B$2)</f>
        <v/>
      </c>
      <c r="I204" s="7">
        <f>IF(G204="","",ROUND(G204*H204,2))</f>
        <v/>
      </c>
      <c r="J204" s="8">
        <f>IF(A204="","",A204+Ajustes!$B$3)</f>
        <v/>
      </c>
      <c r="K204" s="3" t="n"/>
      <c r="L204" s="2" t="n"/>
      <c r="M204" s="3" t="n"/>
      <c r="N204" s="3" t="n"/>
    </row>
    <row r="205">
      <c r="A205" s="2" t="n"/>
      <c r="B205" s="3" t="n"/>
      <c r="C205" s="4">
        <f>IF(B205="","",IFERROR(INDEX(Agencias!$A$2:$A$32,MATCH(B205,Agencias!$B$2:$B$32,0)),"¿Agencia nueva?"))</f>
        <v/>
      </c>
      <c r="D205" s="3" t="n"/>
      <c r="E205" s="3" t="n"/>
      <c r="F205" s="3" t="n"/>
      <c r="G205" s="5" t="n"/>
      <c r="H205" s="6">
        <f>IF(G205="","",Ajustes!$B$2)</f>
        <v/>
      </c>
      <c r="I205" s="7">
        <f>IF(G205="","",ROUND(G205*H205,2))</f>
        <v/>
      </c>
      <c r="J205" s="8">
        <f>IF(A205="","",A205+Ajustes!$B$3)</f>
        <v/>
      </c>
      <c r="K205" s="3" t="n"/>
      <c r="L205" s="2" t="n"/>
      <c r="M205" s="3" t="n"/>
      <c r="N205" s="3" t="n"/>
    </row>
    <row r="206">
      <c r="A206" s="2" t="n"/>
      <c r="B206" s="3" t="n"/>
      <c r="C206" s="4">
        <f>IF(B206="","",IFERROR(INDEX(Agencias!$A$2:$A$32,MATCH(B206,Agencias!$B$2:$B$32,0)),"¿Agencia nueva?"))</f>
        <v/>
      </c>
      <c r="D206" s="3" t="n"/>
      <c r="E206" s="3" t="n"/>
      <c r="F206" s="3" t="n"/>
      <c r="G206" s="5" t="n"/>
      <c r="H206" s="6">
        <f>IF(G206="","",Ajustes!$B$2)</f>
        <v/>
      </c>
      <c r="I206" s="7">
        <f>IF(G206="","",ROUND(G206*H206,2))</f>
        <v/>
      </c>
      <c r="J206" s="8">
        <f>IF(A206="","",A206+Ajustes!$B$3)</f>
        <v/>
      </c>
      <c r="K206" s="3" t="n"/>
      <c r="L206" s="2" t="n"/>
      <c r="M206" s="3" t="n"/>
      <c r="N206" s="3" t="n"/>
    </row>
    <row r="207">
      <c r="A207" s="2" t="n"/>
      <c r="B207" s="3" t="n"/>
      <c r="C207" s="4">
        <f>IF(B207="","",IFERROR(INDEX(Agencias!$A$2:$A$32,MATCH(B207,Agencias!$B$2:$B$32,0)),"¿Agencia nueva?"))</f>
        <v/>
      </c>
      <c r="D207" s="3" t="n"/>
      <c r="E207" s="3" t="n"/>
      <c r="F207" s="3" t="n"/>
      <c r="G207" s="5" t="n"/>
      <c r="H207" s="6">
        <f>IF(G207="","",Ajustes!$B$2)</f>
        <v/>
      </c>
      <c r="I207" s="7">
        <f>IF(G207="","",ROUND(G207*H207,2))</f>
        <v/>
      </c>
      <c r="J207" s="8">
        <f>IF(A207="","",A207+Ajustes!$B$3)</f>
        <v/>
      </c>
      <c r="K207" s="3" t="n"/>
      <c r="L207" s="2" t="n"/>
      <c r="M207" s="3" t="n"/>
      <c r="N207" s="3" t="n"/>
    </row>
    <row r="208">
      <c r="A208" s="2" t="n"/>
      <c r="B208" s="3" t="n"/>
      <c r="C208" s="4">
        <f>IF(B208="","",IFERROR(INDEX(Agencias!$A$2:$A$32,MATCH(B208,Agencias!$B$2:$B$32,0)),"¿Agencia nueva?"))</f>
        <v/>
      </c>
      <c r="D208" s="3" t="n"/>
      <c r="E208" s="3" t="n"/>
      <c r="F208" s="3" t="n"/>
      <c r="G208" s="5" t="n"/>
      <c r="H208" s="6">
        <f>IF(G208="","",Ajustes!$B$2)</f>
        <v/>
      </c>
      <c r="I208" s="7">
        <f>IF(G208="","",ROUND(G208*H208,2))</f>
        <v/>
      </c>
      <c r="J208" s="8">
        <f>IF(A208="","",A208+Ajustes!$B$3)</f>
        <v/>
      </c>
      <c r="K208" s="3" t="n"/>
      <c r="L208" s="2" t="n"/>
      <c r="M208" s="3" t="n"/>
      <c r="N208" s="3" t="n"/>
    </row>
    <row r="209">
      <c r="A209" s="2" t="n"/>
      <c r="B209" s="3" t="n"/>
      <c r="C209" s="4">
        <f>IF(B209="","",IFERROR(INDEX(Agencias!$A$2:$A$32,MATCH(B209,Agencias!$B$2:$B$32,0)),"¿Agencia nueva?"))</f>
        <v/>
      </c>
      <c r="D209" s="3" t="n"/>
      <c r="E209" s="3" t="n"/>
      <c r="F209" s="3" t="n"/>
      <c r="G209" s="5" t="n"/>
      <c r="H209" s="6">
        <f>IF(G209="","",Ajustes!$B$2)</f>
        <v/>
      </c>
      <c r="I209" s="7">
        <f>IF(G209="","",ROUND(G209*H209,2))</f>
        <v/>
      </c>
      <c r="J209" s="8">
        <f>IF(A209="","",A209+Ajustes!$B$3)</f>
        <v/>
      </c>
      <c r="K209" s="3" t="n"/>
      <c r="L209" s="2" t="n"/>
      <c r="M209" s="3" t="n"/>
      <c r="N209" s="3" t="n"/>
    </row>
    <row r="210">
      <c r="A210" s="2" t="n"/>
      <c r="B210" s="3" t="n"/>
      <c r="C210" s="4">
        <f>IF(B210="","",IFERROR(INDEX(Agencias!$A$2:$A$32,MATCH(B210,Agencias!$B$2:$B$32,0)),"¿Agencia nueva?"))</f>
        <v/>
      </c>
      <c r="D210" s="3" t="n"/>
      <c r="E210" s="3" t="n"/>
      <c r="F210" s="3" t="n"/>
      <c r="G210" s="5" t="n"/>
      <c r="H210" s="6">
        <f>IF(G210="","",Ajustes!$B$2)</f>
        <v/>
      </c>
      <c r="I210" s="7">
        <f>IF(G210="","",ROUND(G210*H210,2))</f>
        <v/>
      </c>
      <c r="J210" s="8">
        <f>IF(A210="","",A210+Ajustes!$B$3)</f>
        <v/>
      </c>
      <c r="K210" s="3" t="n"/>
      <c r="L210" s="2" t="n"/>
      <c r="M210" s="3" t="n"/>
      <c r="N210" s="3" t="n"/>
    </row>
    <row r="211">
      <c r="A211" s="2" t="n"/>
      <c r="B211" s="3" t="n"/>
      <c r="C211" s="4">
        <f>IF(B211="","",IFERROR(INDEX(Agencias!$A$2:$A$32,MATCH(B211,Agencias!$B$2:$B$32,0)),"¿Agencia nueva?"))</f>
        <v/>
      </c>
      <c r="D211" s="3" t="n"/>
      <c r="E211" s="3" t="n"/>
      <c r="F211" s="3" t="n"/>
      <c r="G211" s="5" t="n"/>
      <c r="H211" s="6">
        <f>IF(G211="","",Ajustes!$B$2)</f>
        <v/>
      </c>
      <c r="I211" s="7">
        <f>IF(G211="","",ROUND(G211*H211,2))</f>
        <v/>
      </c>
      <c r="J211" s="8">
        <f>IF(A211="","",A211+Ajustes!$B$3)</f>
        <v/>
      </c>
      <c r="K211" s="3" t="n"/>
      <c r="L211" s="2" t="n"/>
      <c r="M211" s="3" t="n"/>
      <c r="N211" s="3" t="n"/>
    </row>
    <row r="212">
      <c r="A212" s="2" t="n"/>
      <c r="B212" s="3" t="n"/>
      <c r="C212" s="4">
        <f>IF(B212="","",IFERROR(INDEX(Agencias!$A$2:$A$32,MATCH(B212,Agencias!$B$2:$B$32,0)),"¿Agencia nueva?"))</f>
        <v/>
      </c>
      <c r="D212" s="3" t="n"/>
      <c r="E212" s="3" t="n"/>
      <c r="F212" s="3" t="n"/>
      <c r="G212" s="5" t="n"/>
      <c r="H212" s="6">
        <f>IF(G212="","",Ajustes!$B$2)</f>
        <v/>
      </c>
      <c r="I212" s="7">
        <f>IF(G212="","",ROUND(G212*H212,2))</f>
        <v/>
      </c>
      <c r="J212" s="8">
        <f>IF(A212="","",A212+Ajustes!$B$3)</f>
        <v/>
      </c>
      <c r="K212" s="3" t="n"/>
      <c r="L212" s="2" t="n"/>
      <c r="M212" s="3" t="n"/>
      <c r="N212" s="3" t="n"/>
    </row>
    <row r="213">
      <c r="A213" s="2" t="n"/>
      <c r="B213" s="3" t="n"/>
      <c r="C213" s="4">
        <f>IF(B213="","",IFERROR(INDEX(Agencias!$A$2:$A$32,MATCH(B213,Agencias!$B$2:$B$32,0)),"¿Agencia nueva?"))</f>
        <v/>
      </c>
      <c r="D213" s="3" t="n"/>
      <c r="E213" s="3" t="n"/>
      <c r="F213" s="3" t="n"/>
      <c r="G213" s="5" t="n"/>
      <c r="H213" s="6">
        <f>IF(G213="","",Ajustes!$B$2)</f>
        <v/>
      </c>
      <c r="I213" s="7">
        <f>IF(G213="","",ROUND(G213*H213,2))</f>
        <v/>
      </c>
      <c r="J213" s="8">
        <f>IF(A213="","",A213+Ajustes!$B$3)</f>
        <v/>
      </c>
      <c r="K213" s="3" t="n"/>
      <c r="L213" s="2" t="n"/>
      <c r="M213" s="3" t="n"/>
      <c r="N213" s="3" t="n"/>
    </row>
    <row r="214">
      <c r="A214" s="2" t="n"/>
      <c r="B214" s="3" t="n"/>
      <c r="C214" s="4">
        <f>IF(B214="","",IFERROR(INDEX(Agencias!$A$2:$A$32,MATCH(B214,Agencias!$B$2:$B$32,0)),"¿Agencia nueva?"))</f>
        <v/>
      </c>
      <c r="D214" s="3" t="n"/>
      <c r="E214" s="3" t="n"/>
      <c r="F214" s="3" t="n"/>
      <c r="G214" s="5" t="n"/>
      <c r="H214" s="6">
        <f>IF(G214="","",Ajustes!$B$2)</f>
        <v/>
      </c>
      <c r="I214" s="7">
        <f>IF(G214="","",ROUND(G214*H214,2))</f>
        <v/>
      </c>
      <c r="J214" s="8">
        <f>IF(A214="","",A214+Ajustes!$B$3)</f>
        <v/>
      </c>
      <c r="K214" s="3" t="n"/>
      <c r="L214" s="2" t="n"/>
      <c r="M214" s="3" t="n"/>
      <c r="N214" s="3" t="n"/>
    </row>
    <row r="215">
      <c r="A215" s="2" t="n"/>
      <c r="B215" s="3" t="n"/>
      <c r="C215" s="4">
        <f>IF(B215="","",IFERROR(INDEX(Agencias!$A$2:$A$32,MATCH(B215,Agencias!$B$2:$B$32,0)),"¿Agencia nueva?"))</f>
        <v/>
      </c>
      <c r="D215" s="3" t="n"/>
      <c r="E215" s="3" t="n"/>
      <c r="F215" s="3" t="n"/>
      <c r="G215" s="5" t="n"/>
      <c r="H215" s="6">
        <f>IF(G215="","",Ajustes!$B$2)</f>
        <v/>
      </c>
      <c r="I215" s="7">
        <f>IF(G215="","",ROUND(G215*H215,2))</f>
        <v/>
      </c>
      <c r="J215" s="8">
        <f>IF(A215="","",A215+Ajustes!$B$3)</f>
        <v/>
      </c>
      <c r="K215" s="3" t="n"/>
      <c r="L215" s="2" t="n"/>
      <c r="M215" s="3" t="n"/>
      <c r="N215" s="3" t="n"/>
    </row>
    <row r="216">
      <c r="A216" s="2" t="n"/>
      <c r="B216" s="3" t="n"/>
      <c r="C216" s="4">
        <f>IF(B216="","",IFERROR(INDEX(Agencias!$A$2:$A$32,MATCH(B216,Agencias!$B$2:$B$32,0)),"¿Agencia nueva?"))</f>
        <v/>
      </c>
      <c r="D216" s="3" t="n"/>
      <c r="E216" s="3" t="n"/>
      <c r="F216" s="3" t="n"/>
      <c r="G216" s="5" t="n"/>
      <c r="H216" s="6">
        <f>IF(G216="","",Ajustes!$B$2)</f>
        <v/>
      </c>
      <c r="I216" s="7">
        <f>IF(G216="","",ROUND(G216*H216,2))</f>
        <v/>
      </c>
      <c r="J216" s="8">
        <f>IF(A216="","",A216+Ajustes!$B$3)</f>
        <v/>
      </c>
      <c r="K216" s="3" t="n"/>
      <c r="L216" s="2" t="n"/>
      <c r="M216" s="3" t="n"/>
      <c r="N216" s="3" t="n"/>
    </row>
    <row r="217">
      <c r="A217" s="2" t="n"/>
      <c r="B217" s="3" t="n"/>
      <c r="C217" s="4">
        <f>IF(B217="","",IFERROR(INDEX(Agencias!$A$2:$A$32,MATCH(B217,Agencias!$B$2:$B$32,0)),"¿Agencia nueva?"))</f>
        <v/>
      </c>
      <c r="D217" s="3" t="n"/>
      <c r="E217" s="3" t="n"/>
      <c r="F217" s="3" t="n"/>
      <c r="G217" s="5" t="n"/>
      <c r="H217" s="6">
        <f>IF(G217="","",Ajustes!$B$2)</f>
        <v/>
      </c>
      <c r="I217" s="7">
        <f>IF(G217="","",ROUND(G217*H217,2))</f>
        <v/>
      </c>
      <c r="J217" s="8">
        <f>IF(A217="","",A217+Ajustes!$B$3)</f>
        <v/>
      </c>
      <c r="K217" s="3" t="n"/>
      <c r="L217" s="2" t="n"/>
      <c r="M217" s="3" t="n"/>
      <c r="N217" s="3" t="n"/>
    </row>
    <row r="218">
      <c r="A218" s="2" t="n"/>
      <c r="B218" s="3" t="n"/>
      <c r="C218" s="4">
        <f>IF(B218="","",IFERROR(INDEX(Agencias!$A$2:$A$32,MATCH(B218,Agencias!$B$2:$B$32,0)),"¿Agencia nueva?"))</f>
        <v/>
      </c>
      <c r="D218" s="3" t="n"/>
      <c r="E218" s="3" t="n"/>
      <c r="F218" s="3" t="n"/>
      <c r="G218" s="5" t="n"/>
      <c r="H218" s="6">
        <f>IF(G218="","",Ajustes!$B$2)</f>
        <v/>
      </c>
      <c r="I218" s="7">
        <f>IF(G218="","",ROUND(G218*H218,2))</f>
        <v/>
      </c>
      <c r="J218" s="8">
        <f>IF(A218="","",A218+Ajustes!$B$3)</f>
        <v/>
      </c>
      <c r="K218" s="3" t="n"/>
      <c r="L218" s="2" t="n"/>
      <c r="M218" s="3" t="n"/>
      <c r="N218" s="3" t="n"/>
    </row>
    <row r="219">
      <c r="A219" s="2" t="n"/>
      <c r="B219" s="3" t="n"/>
      <c r="C219" s="4">
        <f>IF(B219="","",IFERROR(INDEX(Agencias!$A$2:$A$32,MATCH(B219,Agencias!$B$2:$B$32,0)),"¿Agencia nueva?"))</f>
        <v/>
      </c>
      <c r="D219" s="3" t="n"/>
      <c r="E219" s="3" t="n"/>
      <c r="F219" s="3" t="n"/>
      <c r="G219" s="5" t="n"/>
      <c r="H219" s="6">
        <f>IF(G219="","",Ajustes!$B$2)</f>
        <v/>
      </c>
      <c r="I219" s="7">
        <f>IF(G219="","",ROUND(G219*H219,2))</f>
        <v/>
      </c>
      <c r="J219" s="8">
        <f>IF(A219="","",A219+Ajustes!$B$3)</f>
        <v/>
      </c>
      <c r="K219" s="3" t="n"/>
      <c r="L219" s="2" t="n"/>
      <c r="M219" s="3" t="n"/>
      <c r="N219" s="3" t="n"/>
    </row>
    <row r="220">
      <c r="A220" s="2" t="n"/>
      <c r="B220" s="3" t="n"/>
      <c r="C220" s="4">
        <f>IF(B220="","",IFERROR(INDEX(Agencias!$A$2:$A$32,MATCH(B220,Agencias!$B$2:$B$32,0)),"¿Agencia nueva?"))</f>
        <v/>
      </c>
      <c r="D220" s="3" t="n"/>
      <c r="E220" s="3" t="n"/>
      <c r="F220" s="3" t="n"/>
      <c r="G220" s="5" t="n"/>
      <c r="H220" s="6">
        <f>IF(G220="","",Ajustes!$B$2)</f>
        <v/>
      </c>
      <c r="I220" s="7">
        <f>IF(G220="","",ROUND(G220*H220,2))</f>
        <v/>
      </c>
      <c r="J220" s="8">
        <f>IF(A220="","",A220+Ajustes!$B$3)</f>
        <v/>
      </c>
      <c r="K220" s="3" t="n"/>
      <c r="L220" s="2" t="n"/>
      <c r="M220" s="3" t="n"/>
      <c r="N220" s="3" t="n"/>
    </row>
    <row r="221">
      <c r="A221" s="2" t="n"/>
      <c r="B221" s="3" t="n"/>
      <c r="C221" s="4">
        <f>IF(B221="","",IFERROR(INDEX(Agencias!$A$2:$A$32,MATCH(B221,Agencias!$B$2:$B$32,0)),"¿Agencia nueva?"))</f>
        <v/>
      </c>
      <c r="D221" s="3" t="n"/>
      <c r="E221" s="3" t="n"/>
      <c r="F221" s="3" t="n"/>
      <c r="G221" s="5" t="n"/>
      <c r="H221" s="6">
        <f>IF(G221="","",Ajustes!$B$2)</f>
        <v/>
      </c>
      <c r="I221" s="7">
        <f>IF(G221="","",ROUND(G221*H221,2))</f>
        <v/>
      </c>
      <c r="J221" s="8">
        <f>IF(A221="","",A221+Ajustes!$B$3)</f>
        <v/>
      </c>
      <c r="K221" s="3" t="n"/>
      <c r="L221" s="2" t="n"/>
      <c r="M221" s="3" t="n"/>
      <c r="N221" s="3" t="n"/>
    </row>
    <row r="222">
      <c r="A222" s="2" t="n"/>
      <c r="B222" s="3" t="n"/>
      <c r="C222" s="4">
        <f>IF(B222="","",IFERROR(INDEX(Agencias!$A$2:$A$32,MATCH(B222,Agencias!$B$2:$B$32,0)),"¿Agencia nueva?"))</f>
        <v/>
      </c>
      <c r="D222" s="3" t="n"/>
      <c r="E222" s="3" t="n"/>
      <c r="F222" s="3" t="n"/>
      <c r="G222" s="5" t="n"/>
      <c r="H222" s="6">
        <f>IF(G222="","",Ajustes!$B$2)</f>
        <v/>
      </c>
      <c r="I222" s="7">
        <f>IF(G222="","",ROUND(G222*H222,2))</f>
        <v/>
      </c>
      <c r="J222" s="8">
        <f>IF(A222="","",A222+Ajustes!$B$3)</f>
        <v/>
      </c>
      <c r="K222" s="3" t="n"/>
      <c r="L222" s="2" t="n"/>
      <c r="M222" s="3" t="n"/>
      <c r="N222" s="3" t="n"/>
    </row>
    <row r="223">
      <c r="A223" s="2" t="n"/>
      <c r="B223" s="3" t="n"/>
      <c r="C223" s="4">
        <f>IF(B223="","",IFERROR(INDEX(Agencias!$A$2:$A$32,MATCH(B223,Agencias!$B$2:$B$32,0)),"¿Agencia nueva?"))</f>
        <v/>
      </c>
      <c r="D223" s="3" t="n"/>
      <c r="E223" s="3" t="n"/>
      <c r="F223" s="3" t="n"/>
      <c r="G223" s="5" t="n"/>
      <c r="H223" s="6">
        <f>IF(G223="","",Ajustes!$B$2)</f>
        <v/>
      </c>
      <c r="I223" s="7">
        <f>IF(G223="","",ROUND(G223*H223,2))</f>
        <v/>
      </c>
      <c r="J223" s="8">
        <f>IF(A223="","",A223+Ajustes!$B$3)</f>
        <v/>
      </c>
      <c r="K223" s="3" t="n"/>
      <c r="L223" s="2" t="n"/>
      <c r="M223" s="3" t="n"/>
      <c r="N223" s="3" t="n"/>
    </row>
    <row r="224">
      <c r="A224" s="2" t="n"/>
      <c r="B224" s="3" t="n"/>
      <c r="C224" s="4">
        <f>IF(B224="","",IFERROR(INDEX(Agencias!$A$2:$A$32,MATCH(B224,Agencias!$B$2:$B$32,0)),"¿Agencia nueva?"))</f>
        <v/>
      </c>
      <c r="D224" s="3" t="n"/>
      <c r="E224" s="3" t="n"/>
      <c r="F224" s="3" t="n"/>
      <c r="G224" s="5" t="n"/>
      <c r="H224" s="6">
        <f>IF(G224="","",Ajustes!$B$2)</f>
        <v/>
      </c>
      <c r="I224" s="7">
        <f>IF(G224="","",ROUND(G224*H224,2))</f>
        <v/>
      </c>
      <c r="J224" s="8">
        <f>IF(A224="","",A224+Ajustes!$B$3)</f>
        <v/>
      </c>
      <c r="K224" s="3" t="n"/>
      <c r="L224" s="2" t="n"/>
      <c r="M224" s="3" t="n"/>
      <c r="N224" s="3" t="n"/>
    </row>
    <row r="225">
      <c r="A225" s="2" t="n"/>
      <c r="B225" s="3" t="n"/>
      <c r="C225" s="4">
        <f>IF(B225="","",IFERROR(INDEX(Agencias!$A$2:$A$32,MATCH(B225,Agencias!$B$2:$B$32,0)),"¿Agencia nueva?"))</f>
        <v/>
      </c>
      <c r="D225" s="3" t="n"/>
      <c r="E225" s="3" t="n"/>
      <c r="F225" s="3" t="n"/>
      <c r="G225" s="5" t="n"/>
      <c r="H225" s="6">
        <f>IF(G225="","",Ajustes!$B$2)</f>
        <v/>
      </c>
      <c r="I225" s="7">
        <f>IF(G225="","",ROUND(G225*H225,2))</f>
        <v/>
      </c>
      <c r="J225" s="8">
        <f>IF(A225="","",A225+Ajustes!$B$3)</f>
        <v/>
      </c>
      <c r="K225" s="3" t="n"/>
      <c r="L225" s="2" t="n"/>
      <c r="M225" s="3" t="n"/>
      <c r="N225" s="3" t="n"/>
    </row>
    <row r="226">
      <c r="A226" s="2" t="n"/>
      <c r="B226" s="3" t="n"/>
      <c r="C226" s="4">
        <f>IF(B226="","",IFERROR(INDEX(Agencias!$A$2:$A$32,MATCH(B226,Agencias!$B$2:$B$32,0)),"¿Agencia nueva?"))</f>
        <v/>
      </c>
      <c r="D226" s="3" t="n"/>
      <c r="E226" s="3" t="n"/>
      <c r="F226" s="3" t="n"/>
      <c r="G226" s="5" t="n"/>
      <c r="H226" s="6">
        <f>IF(G226="","",Ajustes!$B$2)</f>
        <v/>
      </c>
      <c r="I226" s="7">
        <f>IF(G226="","",ROUND(G226*H226,2))</f>
        <v/>
      </c>
      <c r="J226" s="8">
        <f>IF(A226="","",A226+Ajustes!$B$3)</f>
        <v/>
      </c>
      <c r="K226" s="3" t="n"/>
      <c r="L226" s="2" t="n"/>
      <c r="M226" s="3" t="n"/>
      <c r="N226" s="3" t="n"/>
    </row>
    <row r="227">
      <c r="A227" s="2" t="n"/>
      <c r="B227" s="3" t="n"/>
      <c r="C227" s="4">
        <f>IF(B227="","",IFERROR(INDEX(Agencias!$A$2:$A$32,MATCH(B227,Agencias!$B$2:$B$32,0)),"¿Agencia nueva?"))</f>
        <v/>
      </c>
      <c r="D227" s="3" t="n"/>
      <c r="E227" s="3" t="n"/>
      <c r="F227" s="3" t="n"/>
      <c r="G227" s="5" t="n"/>
      <c r="H227" s="6">
        <f>IF(G227="","",Ajustes!$B$2)</f>
        <v/>
      </c>
      <c r="I227" s="7">
        <f>IF(G227="","",ROUND(G227*H227,2))</f>
        <v/>
      </c>
      <c r="J227" s="8">
        <f>IF(A227="","",A227+Ajustes!$B$3)</f>
        <v/>
      </c>
      <c r="K227" s="3" t="n"/>
      <c r="L227" s="2" t="n"/>
      <c r="M227" s="3" t="n"/>
      <c r="N227" s="3" t="n"/>
    </row>
    <row r="228">
      <c r="A228" s="2" t="n"/>
      <c r="B228" s="3" t="n"/>
      <c r="C228" s="4">
        <f>IF(B228="","",IFERROR(INDEX(Agencias!$A$2:$A$32,MATCH(B228,Agencias!$B$2:$B$32,0)),"¿Agencia nueva?"))</f>
        <v/>
      </c>
      <c r="D228" s="3" t="n"/>
      <c r="E228" s="3" t="n"/>
      <c r="F228" s="3" t="n"/>
      <c r="G228" s="5" t="n"/>
      <c r="H228" s="6">
        <f>IF(G228="","",Ajustes!$B$2)</f>
        <v/>
      </c>
      <c r="I228" s="7">
        <f>IF(G228="","",ROUND(G228*H228,2))</f>
        <v/>
      </c>
      <c r="J228" s="8">
        <f>IF(A228="","",A228+Ajustes!$B$3)</f>
        <v/>
      </c>
      <c r="K228" s="3" t="n"/>
      <c r="L228" s="2" t="n"/>
      <c r="M228" s="3" t="n"/>
      <c r="N228" s="3" t="n"/>
    </row>
    <row r="229">
      <c r="A229" s="2" t="n"/>
      <c r="B229" s="3" t="n"/>
      <c r="C229" s="4">
        <f>IF(B229="","",IFERROR(INDEX(Agencias!$A$2:$A$32,MATCH(B229,Agencias!$B$2:$B$32,0)),"¿Agencia nueva?"))</f>
        <v/>
      </c>
      <c r="D229" s="3" t="n"/>
      <c r="E229" s="3" t="n"/>
      <c r="F229" s="3" t="n"/>
      <c r="G229" s="5" t="n"/>
      <c r="H229" s="6">
        <f>IF(G229="","",Ajustes!$B$2)</f>
        <v/>
      </c>
      <c r="I229" s="7">
        <f>IF(G229="","",ROUND(G229*H229,2))</f>
        <v/>
      </c>
      <c r="J229" s="8">
        <f>IF(A229="","",A229+Ajustes!$B$3)</f>
        <v/>
      </c>
      <c r="K229" s="3" t="n"/>
      <c r="L229" s="2" t="n"/>
      <c r="M229" s="3" t="n"/>
      <c r="N229" s="3" t="n"/>
    </row>
    <row r="230">
      <c r="A230" s="2" t="n"/>
      <c r="B230" s="3" t="n"/>
      <c r="C230" s="4">
        <f>IF(B230="","",IFERROR(INDEX(Agencias!$A$2:$A$32,MATCH(B230,Agencias!$B$2:$B$32,0)),"¿Agencia nueva?"))</f>
        <v/>
      </c>
      <c r="D230" s="3" t="n"/>
      <c r="E230" s="3" t="n"/>
      <c r="F230" s="3" t="n"/>
      <c r="G230" s="5" t="n"/>
      <c r="H230" s="6">
        <f>IF(G230="","",Ajustes!$B$2)</f>
        <v/>
      </c>
      <c r="I230" s="7">
        <f>IF(G230="","",ROUND(G230*H230,2))</f>
        <v/>
      </c>
      <c r="J230" s="8">
        <f>IF(A230="","",A230+Ajustes!$B$3)</f>
        <v/>
      </c>
      <c r="K230" s="3" t="n"/>
      <c r="L230" s="2" t="n"/>
      <c r="M230" s="3" t="n"/>
      <c r="N230" s="3" t="n"/>
    </row>
    <row r="231">
      <c r="A231" s="2" t="n"/>
      <c r="B231" s="3" t="n"/>
      <c r="C231" s="4">
        <f>IF(B231="","",IFERROR(INDEX(Agencias!$A$2:$A$32,MATCH(B231,Agencias!$B$2:$B$32,0)),"¿Agencia nueva?"))</f>
        <v/>
      </c>
      <c r="D231" s="3" t="n"/>
      <c r="E231" s="3" t="n"/>
      <c r="F231" s="3" t="n"/>
      <c r="G231" s="5" t="n"/>
      <c r="H231" s="6">
        <f>IF(G231="","",Ajustes!$B$2)</f>
        <v/>
      </c>
      <c r="I231" s="7">
        <f>IF(G231="","",ROUND(G231*H231,2))</f>
        <v/>
      </c>
      <c r="J231" s="8">
        <f>IF(A231="","",A231+Ajustes!$B$3)</f>
        <v/>
      </c>
      <c r="K231" s="3" t="n"/>
      <c r="L231" s="2" t="n"/>
      <c r="M231" s="3" t="n"/>
      <c r="N231" s="3" t="n"/>
    </row>
    <row r="232">
      <c r="A232" s="2" t="n"/>
      <c r="B232" s="3" t="n"/>
      <c r="C232" s="4">
        <f>IF(B232="","",IFERROR(INDEX(Agencias!$A$2:$A$32,MATCH(B232,Agencias!$B$2:$B$32,0)),"¿Agencia nueva?"))</f>
        <v/>
      </c>
      <c r="D232" s="3" t="n"/>
      <c r="E232" s="3" t="n"/>
      <c r="F232" s="3" t="n"/>
      <c r="G232" s="5" t="n"/>
      <c r="H232" s="6">
        <f>IF(G232="","",Ajustes!$B$2)</f>
        <v/>
      </c>
      <c r="I232" s="7">
        <f>IF(G232="","",ROUND(G232*H232,2))</f>
        <v/>
      </c>
      <c r="J232" s="8">
        <f>IF(A232="","",A232+Ajustes!$B$3)</f>
        <v/>
      </c>
      <c r="K232" s="3" t="n"/>
      <c r="L232" s="2" t="n"/>
      <c r="M232" s="3" t="n"/>
      <c r="N232" s="3" t="n"/>
    </row>
    <row r="233">
      <c r="A233" s="2" t="n"/>
      <c r="B233" s="3" t="n"/>
      <c r="C233" s="4">
        <f>IF(B233="","",IFERROR(INDEX(Agencias!$A$2:$A$32,MATCH(B233,Agencias!$B$2:$B$32,0)),"¿Agencia nueva?"))</f>
        <v/>
      </c>
      <c r="D233" s="3" t="n"/>
      <c r="E233" s="3" t="n"/>
      <c r="F233" s="3" t="n"/>
      <c r="G233" s="5" t="n"/>
      <c r="H233" s="6">
        <f>IF(G233="","",Ajustes!$B$2)</f>
        <v/>
      </c>
      <c r="I233" s="7">
        <f>IF(G233="","",ROUND(G233*H233,2))</f>
        <v/>
      </c>
      <c r="J233" s="8">
        <f>IF(A233="","",A233+Ajustes!$B$3)</f>
        <v/>
      </c>
      <c r="K233" s="3" t="n"/>
      <c r="L233" s="2" t="n"/>
      <c r="M233" s="3" t="n"/>
      <c r="N233" s="3" t="n"/>
    </row>
    <row r="234">
      <c r="A234" s="2" t="n"/>
      <c r="B234" s="3" t="n"/>
      <c r="C234" s="4">
        <f>IF(B234="","",IFERROR(INDEX(Agencias!$A$2:$A$32,MATCH(B234,Agencias!$B$2:$B$32,0)),"¿Agencia nueva?"))</f>
        <v/>
      </c>
      <c r="D234" s="3" t="n"/>
      <c r="E234" s="3" t="n"/>
      <c r="F234" s="3" t="n"/>
      <c r="G234" s="5" t="n"/>
      <c r="H234" s="6">
        <f>IF(G234="","",Ajustes!$B$2)</f>
        <v/>
      </c>
      <c r="I234" s="7">
        <f>IF(G234="","",ROUND(G234*H234,2))</f>
        <v/>
      </c>
      <c r="J234" s="8">
        <f>IF(A234="","",A234+Ajustes!$B$3)</f>
        <v/>
      </c>
      <c r="K234" s="3" t="n"/>
      <c r="L234" s="2" t="n"/>
      <c r="M234" s="3" t="n"/>
      <c r="N234" s="3" t="n"/>
    </row>
    <row r="235">
      <c r="A235" s="2" t="n"/>
      <c r="B235" s="3" t="n"/>
      <c r="C235" s="4">
        <f>IF(B235="","",IFERROR(INDEX(Agencias!$A$2:$A$32,MATCH(B235,Agencias!$B$2:$B$32,0)),"¿Agencia nueva?"))</f>
        <v/>
      </c>
      <c r="D235" s="3" t="n"/>
      <c r="E235" s="3" t="n"/>
      <c r="F235" s="3" t="n"/>
      <c r="G235" s="5" t="n"/>
      <c r="H235" s="6">
        <f>IF(G235="","",Ajustes!$B$2)</f>
        <v/>
      </c>
      <c r="I235" s="7">
        <f>IF(G235="","",ROUND(G235*H235,2))</f>
        <v/>
      </c>
      <c r="J235" s="8">
        <f>IF(A235="","",A235+Ajustes!$B$3)</f>
        <v/>
      </c>
      <c r="K235" s="3" t="n"/>
      <c r="L235" s="2" t="n"/>
      <c r="M235" s="3" t="n"/>
      <c r="N235" s="3" t="n"/>
    </row>
    <row r="236">
      <c r="A236" s="2" t="n"/>
      <c r="B236" s="3" t="n"/>
      <c r="C236" s="4">
        <f>IF(B236="","",IFERROR(INDEX(Agencias!$A$2:$A$32,MATCH(B236,Agencias!$B$2:$B$32,0)),"¿Agencia nueva?"))</f>
        <v/>
      </c>
      <c r="D236" s="3" t="n"/>
      <c r="E236" s="3" t="n"/>
      <c r="F236" s="3" t="n"/>
      <c r="G236" s="5" t="n"/>
      <c r="H236" s="6">
        <f>IF(G236="","",Ajustes!$B$2)</f>
        <v/>
      </c>
      <c r="I236" s="7">
        <f>IF(G236="","",ROUND(G236*H236,2))</f>
        <v/>
      </c>
      <c r="J236" s="8">
        <f>IF(A236="","",A236+Ajustes!$B$3)</f>
        <v/>
      </c>
      <c r="K236" s="3" t="n"/>
      <c r="L236" s="2" t="n"/>
      <c r="M236" s="3" t="n"/>
      <c r="N236" s="3" t="n"/>
    </row>
    <row r="237">
      <c r="A237" s="2" t="n"/>
      <c r="B237" s="3" t="n"/>
      <c r="C237" s="4">
        <f>IF(B237="","",IFERROR(INDEX(Agencias!$A$2:$A$32,MATCH(B237,Agencias!$B$2:$B$32,0)),"¿Agencia nueva?"))</f>
        <v/>
      </c>
      <c r="D237" s="3" t="n"/>
      <c r="E237" s="3" t="n"/>
      <c r="F237" s="3" t="n"/>
      <c r="G237" s="5" t="n"/>
      <c r="H237" s="6">
        <f>IF(G237="","",Ajustes!$B$2)</f>
        <v/>
      </c>
      <c r="I237" s="7">
        <f>IF(G237="","",ROUND(G237*H237,2))</f>
        <v/>
      </c>
      <c r="J237" s="8">
        <f>IF(A237="","",A237+Ajustes!$B$3)</f>
        <v/>
      </c>
      <c r="K237" s="3" t="n"/>
      <c r="L237" s="2" t="n"/>
      <c r="M237" s="3" t="n"/>
      <c r="N237" s="3" t="n"/>
    </row>
    <row r="238">
      <c r="A238" s="2" t="n"/>
      <c r="B238" s="3" t="n"/>
      <c r="C238" s="4">
        <f>IF(B238="","",IFERROR(INDEX(Agencias!$A$2:$A$32,MATCH(B238,Agencias!$B$2:$B$32,0)),"¿Agencia nueva?"))</f>
        <v/>
      </c>
      <c r="D238" s="3" t="n"/>
      <c r="E238" s="3" t="n"/>
      <c r="F238" s="3" t="n"/>
      <c r="G238" s="5" t="n"/>
      <c r="H238" s="6">
        <f>IF(G238="","",Ajustes!$B$2)</f>
        <v/>
      </c>
      <c r="I238" s="7">
        <f>IF(G238="","",ROUND(G238*H238,2))</f>
        <v/>
      </c>
      <c r="J238" s="8">
        <f>IF(A238="","",A238+Ajustes!$B$3)</f>
        <v/>
      </c>
      <c r="K238" s="3" t="n"/>
      <c r="L238" s="2" t="n"/>
      <c r="M238" s="3" t="n"/>
      <c r="N238" s="3" t="n"/>
    </row>
    <row r="239">
      <c r="A239" s="2" t="n"/>
      <c r="B239" s="3" t="n"/>
      <c r="C239" s="4">
        <f>IF(B239="","",IFERROR(INDEX(Agencias!$A$2:$A$32,MATCH(B239,Agencias!$B$2:$B$32,0)),"¿Agencia nueva?"))</f>
        <v/>
      </c>
      <c r="D239" s="3" t="n"/>
      <c r="E239" s="3" t="n"/>
      <c r="F239" s="3" t="n"/>
      <c r="G239" s="5" t="n"/>
      <c r="H239" s="6">
        <f>IF(G239="","",Ajustes!$B$2)</f>
        <v/>
      </c>
      <c r="I239" s="7">
        <f>IF(G239="","",ROUND(G239*H239,2))</f>
        <v/>
      </c>
      <c r="J239" s="8">
        <f>IF(A239="","",A239+Ajustes!$B$3)</f>
        <v/>
      </c>
      <c r="K239" s="3" t="n"/>
      <c r="L239" s="2" t="n"/>
      <c r="M239" s="3" t="n"/>
      <c r="N239" s="3" t="n"/>
    </row>
    <row r="240">
      <c r="A240" s="2" t="n"/>
      <c r="B240" s="3" t="n"/>
      <c r="C240" s="4">
        <f>IF(B240="","",IFERROR(INDEX(Agencias!$A$2:$A$32,MATCH(B240,Agencias!$B$2:$B$32,0)),"¿Agencia nueva?"))</f>
        <v/>
      </c>
      <c r="D240" s="3" t="n"/>
      <c r="E240" s="3" t="n"/>
      <c r="F240" s="3" t="n"/>
      <c r="G240" s="5" t="n"/>
      <c r="H240" s="6">
        <f>IF(G240="","",Ajustes!$B$2)</f>
        <v/>
      </c>
      <c r="I240" s="7">
        <f>IF(G240="","",ROUND(G240*H240,2))</f>
        <v/>
      </c>
      <c r="J240" s="8">
        <f>IF(A240="","",A240+Ajustes!$B$3)</f>
        <v/>
      </c>
      <c r="K240" s="3" t="n"/>
      <c r="L240" s="2" t="n"/>
      <c r="M240" s="3" t="n"/>
      <c r="N240" s="3" t="n"/>
    </row>
    <row r="241">
      <c r="A241" s="2" t="n"/>
      <c r="B241" s="3" t="n"/>
      <c r="C241" s="4">
        <f>IF(B241="","",IFERROR(INDEX(Agencias!$A$2:$A$32,MATCH(B241,Agencias!$B$2:$B$32,0)),"¿Agencia nueva?"))</f>
        <v/>
      </c>
      <c r="D241" s="3" t="n"/>
      <c r="E241" s="3" t="n"/>
      <c r="F241" s="3" t="n"/>
      <c r="G241" s="5" t="n"/>
      <c r="H241" s="6">
        <f>IF(G241="","",Ajustes!$B$2)</f>
        <v/>
      </c>
      <c r="I241" s="7">
        <f>IF(G241="","",ROUND(G241*H241,2))</f>
        <v/>
      </c>
      <c r="J241" s="8">
        <f>IF(A241="","",A241+Ajustes!$B$3)</f>
        <v/>
      </c>
      <c r="K241" s="3" t="n"/>
      <c r="L241" s="2" t="n"/>
      <c r="M241" s="3" t="n"/>
      <c r="N241" s="3" t="n"/>
    </row>
    <row r="242">
      <c r="A242" s="2" t="n"/>
      <c r="B242" s="3" t="n"/>
      <c r="C242" s="4">
        <f>IF(B242="","",IFERROR(INDEX(Agencias!$A$2:$A$32,MATCH(B242,Agencias!$B$2:$B$32,0)),"¿Agencia nueva?"))</f>
        <v/>
      </c>
      <c r="D242" s="3" t="n"/>
      <c r="E242" s="3" t="n"/>
      <c r="F242" s="3" t="n"/>
      <c r="G242" s="5" t="n"/>
      <c r="H242" s="6">
        <f>IF(G242="","",Ajustes!$B$2)</f>
        <v/>
      </c>
      <c r="I242" s="7">
        <f>IF(G242="","",ROUND(G242*H242,2))</f>
        <v/>
      </c>
      <c r="J242" s="8">
        <f>IF(A242="","",A242+Ajustes!$B$3)</f>
        <v/>
      </c>
      <c r="K242" s="3" t="n"/>
      <c r="L242" s="2" t="n"/>
      <c r="M242" s="3" t="n"/>
      <c r="N242" s="3" t="n"/>
    </row>
    <row r="243">
      <c r="A243" s="2" t="n"/>
      <c r="B243" s="3" t="n"/>
      <c r="C243" s="4">
        <f>IF(B243="","",IFERROR(INDEX(Agencias!$A$2:$A$32,MATCH(B243,Agencias!$B$2:$B$32,0)),"¿Agencia nueva?"))</f>
        <v/>
      </c>
      <c r="D243" s="3" t="n"/>
      <c r="E243" s="3" t="n"/>
      <c r="F243" s="3" t="n"/>
      <c r="G243" s="5" t="n"/>
      <c r="H243" s="6">
        <f>IF(G243="","",Ajustes!$B$2)</f>
        <v/>
      </c>
      <c r="I243" s="7">
        <f>IF(G243="","",ROUND(G243*H243,2))</f>
        <v/>
      </c>
      <c r="J243" s="8">
        <f>IF(A243="","",A243+Ajustes!$B$3)</f>
        <v/>
      </c>
      <c r="K243" s="3" t="n"/>
      <c r="L243" s="2" t="n"/>
      <c r="M243" s="3" t="n"/>
      <c r="N243" s="3" t="n"/>
    </row>
    <row r="244">
      <c r="A244" s="2" t="n"/>
      <c r="B244" s="3" t="n"/>
      <c r="C244" s="4">
        <f>IF(B244="","",IFERROR(INDEX(Agencias!$A$2:$A$32,MATCH(B244,Agencias!$B$2:$B$32,0)),"¿Agencia nueva?"))</f>
        <v/>
      </c>
      <c r="D244" s="3" t="n"/>
      <c r="E244" s="3" t="n"/>
      <c r="F244" s="3" t="n"/>
      <c r="G244" s="5" t="n"/>
      <c r="H244" s="6">
        <f>IF(G244="","",Ajustes!$B$2)</f>
        <v/>
      </c>
      <c r="I244" s="7">
        <f>IF(G244="","",ROUND(G244*H244,2))</f>
        <v/>
      </c>
      <c r="J244" s="8">
        <f>IF(A244="","",A244+Ajustes!$B$3)</f>
        <v/>
      </c>
      <c r="K244" s="3" t="n"/>
      <c r="L244" s="2" t="n"/>
      <c r="M244" s="3" t="n"/>
      <c r="N244" s="3" t="n"/>
    </row>
    <row r="245">
      <c r="A245" s="2" t="n"/>
      <c r="B245" s="3" t="n"/>
      <c r="C245" s="4">
        <f>IF(B245="","",IFERROR(INDEX(Agencias!$A$2:$A$32,MATCH(B245,Agencias!$B$2:$B$32,0)),"¿Agencia nueva?"))</f>
        <v/>
      </c>
      <c r="D245" s="3" t="n"/>
      <c r="E245" s="3" t="n"/>
      <c r="F245" s="3" t="n"/>
      <c r="G245" s="5" t="n"/>
      <c r="H245" s="6">
        <f>IF(G245="","",Ajustes!$B$2)</f>
        <v/>
      </c>
      <c r="I245" s="7">
        <f>IF(G245="","",ROUND(G245*H245,2))</f>
        <v/>
      </c>
      <c r="J245" s="8">
        <f>IF(A245="","",A245+Ajustes!$B$3)</f>
        <v/>
      </c>
      <c r="K245" s="3" t="n"/>
      <c r="L245" s="2" t="n"/>
      <c r="M245" s="3" t="n"/>
      <c r="N245" s="3" t="n"/>
    </row>
    <row r="246">
      <c r="A246" s="2" t="n"/>
      <c r="B246" s="3" t="n"/>
      <c r="C246" s="4">
        <f>IF(B246="","",IFERROR(INDEX(Agencias!$A$2:$A$32,MATCH(B246,Agencias!$B$2:$B$32,0)),"¿Agencia nueva?"))</f>
        <v/>
      </c>
      <c r="D246" s="3" t="n"/>
      <c r="E246" s="3" t="n"/>
      <c r="F246" s="3" t="n"/>
      <c r="G246" s="5" t="n"/>
      <c r="H246" s="6">
        <f>IF(G246="","",Ajustes!$B$2)</f>
        <v/>
      </c>
      <c r="I246" s="7">
        <f>IF(G246="","",ROUND(G246*H246,2))</f>
        <v/>
      </c>
      <c r="J246" s="8">
        <f>IF(A246="","",A246+Ajustes!$B$3)</f>
        <v/>
      </c>
      <c r="K246" s="3" t="n"/>
      <c r="L246" s="2" t="n"/>
      <c r="M246" s="3" t="n"/>
      <c r="N246" s="3" t="n"/>
    </row>
    <row r="247">
      <c r="A247" s="2" t="n"/>
      <c r="B247" s="3" t="n"/>
      <c r="C247" s="4">
        <f>IF(B247="","",IFERROR(INDEX(Agencias!$A$2:$A$32,MATCH(B247,Agencias!$B$2:$B$32,0)),"¿Agencia nueva?"))</f>
        <v/>
      </c>
      <c r="D247" s="3" t="n"/>
      <c r="E247" s="3" t="n"/>
      <c r="F247" s="3" t="n"/>
      <c r="G247" s="5" t="n"/>
      <c r="H247" s="6">
        <f>IF(G247="","",Ajustes!$B$2)</f>
        <v/>
      </c>
      <c r="I247" s="7">
        <f>IF(G247="","",ROUND(G247*H247,2))</f>
        <v/>
      </c>
      <c r="J247" s="8">
        <f>IF(A247="","",A247+Ajustes!$B$3)</f>
        <v/>
      </c>
      <c r="K247" s="3" t="n"/>
      <c r="L247" s="2" t="n"/>
      <c r="M247" s="3" t="n"/>
      <c r="N247" s="3" t="n"/>
    </row>
    <row r="248">
      <c r="A248" s="2" t="n"/>
      <c r="B248" s="3" t="n"/>
      <c r="C248" s="4">
        <f>IF(B248="","",IFERROR(INDEX(Agencias!$A$2:$A$32,MATCH(B248,Agencias!$B$2:$B$32,0)),"¿Agencia nueva?"))</f>
        <v/>
      </c>
      <c r="D248" s="3" t="n"/>
      <c r="E248" s="3" t="n"/>
      <c r="F248" s="3" t="n"/>
      <c r="G248" s="5" t="n"/>
      <c r="H248" s="6">
        <f>IF(G248="","",Ajustes!$B$2)</f>
        <v/>
      </c>
      <c r="I248" s="7">
        <f>IF(G248="","",ROUND(G248*H248,2))</f>
        <v/>
      </c>
      <c r="J248" s="8">
        <f>IF(A248="","",A248+Ajustes!$B$3)</f>
        <v/>
      </c>
      <c r="K248" s="3" t="n"/>
      <c r="L248" s="2" t="n"/>
      <c r="M248" s="3" t="n"/>
      <c r="N248" s="3" t="n"/>
    </row>
    <row r="249">
      <c r="A249" s="2" t="n"/>
      <c r="B249" s="3" t="n"/>
      <c r="C249" s="4">
        <f>IF(B249="","",IFERROR(INDEX(Agencias!$A$2:$A$32,MATCH(B249,Agencias!$B$2:$B$32,0)),"¿Agencia nueva?"))</f>
        <v/>
      </c>
      <c r="D249" s="3" t="n"/>
      <c r="E249" s="3" t="n"/>
      <c r="F249" s="3" t="n"/>
      <c r="G249" s="5" t="n"/>
      <c r="H249" s="6">
        <f>IF(G249="","",Ajustes!$B$2)</f>
        <v/>
      </c>
      <c r="I249" s="7">
        <f>IF(G249="","",ROUND(G249*H249,2))</f>
        <v/>
      </c>
      <c r="J249" s="8">
        <f>IF(A249="","",A249+Ajustes!$B$3)</f>
        <v/>
      </c>
      <c r="K249" s="3" t="n"/>
      <c r="L249" s="2" t="n"/>
      <c r="M249" s="3" t="n"/>
      <c r="N249" s="3" t="n"/>
    </row>
    <row r="250">
      <c r="A250" s="2" t="n"/>
      <c r="B250" s="3" t="n"/>
      <c r="C250" s="4">
        <f>IF(B250="","",IFERROR(INDEX(Agencias!$A$2:$A$32,MATCH(B250,Agencias!$B$2:$B$32,0)),"¿Agencia nueva?"))</f>
        <v/>
      </c>
      <c r="D250" s="3" t="n"/>
      <c r="E250" s="3" t="n"/>
      <c r="F250" s="3" t="n"/>
      <c r="G250" s="5" t="n"/>
      <c r="H250" s="6">
        <f>IF(G250="","",Ajustes!$B$2)</f>
        <v/>
      </c>
      <c r="I250" s="7">
        <f>IF(G250="","",ROUND(G250*H250,2))</f>
        <v/>
      </c>
      <c r="J250" s="8">
        <f>IF(A250="","",A250+Ajustes!$B$3)</f>
        <v/>
      </c>
      <c r="K250" s="3" t="n"/>
      <c r="L250" s="2" t="n"/>
      <c r="M250" s="3" t="n"/>
      <c r="N250" s="3" t="n"/>
    </row>
    <row r="251">
      <c r="A251" s="2" t="n"/>
      <c r="B251" s="3" t="n"/>
      <c r="C251" s="4">
        <f>IF(B251="","",IFERROR(INDEX(Agencias!$A$2:$A$32,MATCH(B251,Agencias!$B$2:$B$32,0)),"¿Agencia nueva?"))</f>
        <v/>
      </c>
      <c r="D251" s="3" t="n"/>
      <c r="E251" s="3" t="n"/>
      <c r="F251" s="3" t="n"/>
      <c r="G251" s="5" t="n"/>
      <c r="H251" s="6">
        <f>IF(G251="","",Ajustes!$B$2)</f>
        <v/>
      </c>
      <c r="I251" s="7">
        <f>IF(G251="","",ROUND(G251*H251,2))</f>
        <v/>
      </c>
      <c r="J251" s="8">
        <f>IF(A251="","",A251+Ajustes!$B$3)</f>
        <v/>
      </c>
      <c r="K251" s="3" t="n"/>
      <c r="L251" s="2" t="n"/>
      <c r="M251" s="3" t="n"/>
      <c r="N251" s="3" t="n"/>
    </row>
    <row r="252">
      <c r="A252" s="2" t="n"/>
      <c r="B252" s="3" t="n"/>
      <c r="C252" s="4">
        <f>IF(B252="","",IFERROR(INDEX(Agencias!$A$2:$A$32,MATCH(B252,Agencias!$B$2:$B$32,0)),"¿Agencia nueva?"))</f>
        <v/>
      </c>
      <c r="D252" s="3" t="n"/>
      <c r="E252" s="3" t="n"/>
      <c r="F252" s="3" t="n"/>
      <c r="G252" s="5" t="n"/>
      <c r="H252" s="6">
        <f>IF(G252="","",Ajustes!$B$2)</f>
        <v/>
      </c>
      <c r="I252" s="7">
        <f>IF(G252="","",ROUND(G252*H252,2))</f>
        <v/>
      </c>
      <c r="J252" s="8">
        <f>IF(A252="","",A252+Ajustes!$B$3)</f>
        <v/>
      </c>
      <c r="K252" s="3" t="n"/>
      <c r="L252" s="2" t="n"/>
      <c r="M252" s="3" t="n"/>
      <c r="N252" s="3" t="n"/>
    </row>
    <row r="253">
      <c r="A253" s="2" t="n"/>
      <c r="B253" s="3" t="n"/>
      <c r="C253" s="4">
        <f>IF(B253="","",IFERROR(INDEX(Agencias!$A$2:$A$32,MATCH(B253,Agencias!$B$2:$B$32,0)),"¿Agencia nueva?"))</f>
        <v/>
      </c>
      <c r="D253" s="3" t="n"/>
      <c r="E253" s="3" t="n"/>
      <c r="F253" s="3" t="n"/>
      <c r="G253" s="5" t="n"/>
      <c r="H253" s="6">
        <f>IF(G253="","",Ajustes!$B$2)</f>
        <v/>
      </c>
      <c r="I253" s="7">
        <f>IF(G253="","",ROUND(G253*H253,2))</f>
        <v/>
      </c>
      <c r="J253" s="8">
        <f>IF(A253="","",A253+Ajustes!$B$3)</f>
        <v/>
      </c>
      <c r="K253" s="3" t="n"/>
      <c r="L253" s="2" t="n"/>
      <c r="M253" s="3" t="n"/>
      <c r="N253" s="3" t="n"/>
    </row>
    <row r="254">
      <c r="A254" s="2" t="n"/>
      <c r="B254" s="3" t="n"/>
      <c r="C254" s="4">
        <f>IF(B254="","",IFERROR(INDEX(Agencias!$A$2:$A$32,MATCH(B254,Agencias!$B$2:$B$32,0)),"¿Agencia nueva?"))</f>
        <v/>
      </c>
      <c r="D254" s="3" t="n"/>
      <c r="E254" s="3" t="n"/>
      <c r="F254" s="3" t="n"/>
      <c r="G254" s="5" t="n"/>
      <c r="H254" s="6">
        <f>IF(G254="","",Ajustes!$B$2)</f>
        <v/>
      </c>
      <c r="I254" s="7">
        <f>IF(G254="","",ROUND(G254*H254,2))</f>
        <v/>
      </c>
      <c r="J254" s="8">
        <f>IF(A254="","",A254+Ajustes!$B$3)</f>
        <v/>
      </c>
      <c r="K254" s="3" t="n"/>
      <c r="L254" s="2" t="n"/>
      <c r="M254" s="3" t="n"/>
      <c r="N254" s="3" t="n"/>
    </row>
    <row r="255">
      <c r="A255" s="2" t="n"/>
      <c r="B255" s="3" t="n"/>
      <c r="C255" s="4">
        <f>IF(B255="","",IFERROR(INDEX(Agencias!$A$2:$A$32,MATCH(B255,Agencias!$B$2:$B$32,0)),"¿Agencia nueva?"))</f>
        <v/>
      </c>
      <c r="D255" s="3" t="n"/>
      <c r="E255" s="3" t="n"/>
      <c r="F255" s="3" t="n"/>
      <c r="G255" s="5" t="n"/>
      <c r="H255" s="6">
        <f>IF(G255="","",Ajustes!$B$2)</f>
        <v/>
      </c>
      <c r="I255" s="7">
        <f>IF(G255="","",ROUND(G255*H255,2))</f>
        <v/>
      </c>
      <c r="J255" s="8">
        <f>IF(A255="","",A255+Ajustes!$B$3)</f>
        <v/>
      </c>
      <c r="K255" s="3" t="n"/>
      <c r="L255" s="2" t="n"/>
      <c r="M255" s="3" t="n"/>
      <c r="N255" s="3" t="n"/>
    </row>
    <row r="256">
      <c r="A256" s="2" t="n"/>
      <c r="B256" s="3" t="n"/>
      <c r="C256" s="4">
        <f>IF(B256="","",IFERROR(INDEX(Agencias!$A$2:$A$32,MATCH(B256,Agencias!$B$2:$B$32,0)),"¿Agencia nueva?"))</f>
        <v/>
      </c>
      <c r="D256" s="3" t="n"/>
      <c r="E256" s="3" t="n"/>
      <c r="F256" s="3" t="n"/>
      <c r="G256" s="5" t="n"/>
      <c r="H256" s="6">
        <f>IF(G256="","",Ajustes!$B$2)</f>
        <v/>
      </c>
      <c r="I256" s="7">
        <f>IF(G256="","",ROUND(G256*H256,2))</f>
        <v/>
      </c>
      <c r="J256" s="8">
        <f>IF(A256="","",A256+Ajustes!$B$3)</f>
        <v/>
      </c>
      <c r="K256" s="3" t="n"/>
      <c r="L256" s="2" t="n"/>
      <c r="M256" s="3" t="n"/>
      <c r="N256" s="3" t="n"/>
    </row>
    <row r="257">
      <c r="A257" s="2" t="n"/>
      <c r="B257" s="3" t="n"/>
      <c r="C257" s="4">
        <f>IF(B257="","",IFERROR(INDEX(Agencias!$A$2:$A$32,MATCH(B257,Agencias!$B$2:$B$32,0)),"¿Agencia nueva?"))</f>
        <v/>
      </c>
      <c r="D257" s="3" t="n"/>
      <c r="E257" s="3" t="n"/>
      <c r="F257" s="3" t="n"/>
      <c r="G257" s="5" t="n"/>
      <c r="H257" s="6">
        <f>IF(G257="","",Ajustes!$B$2)</f>
        <v/>
      </c>
      <c r="I257" s="7">
        <f>IF(G257="","",ROUND(G257*H257,2))</f>
        <v/>
      </c>
      <c r="J257" s="8">
        <f>IF(A257="","",A257+Ajustes!$B$3)</f>
        <v/>
      </c>
      <c r="K257" s="3" t="n"/>
      <c r="L257" s="2" t="n"/>
      <c r="M257" s="3" t="n"/>
      <c r="N257" s="3" t="n"/>
    </row>
    <row r="258">
      <c r="A258" s="2" t="n"/>
      <c r="B258" s="3" t="n"/>
      <c r="C258" s="4">
        <f>IF(B258="","",IFERROR(INDEX(Agencias!$A$2:$A$32,MATCH(B258,Agencias!$B$2:$B$32,0)),"¿Agencia nueva?"))</f>
        <v/>
      </c>
      <c r="D258" s="3" t="n"/>
      <c r="E258" s="3" t="n"/>
      <c r="F258" s="3" t="n"/>
      <c r="G258" s="5" t="n"/>
      <c r="H258" s="6">
        <f>IF(G258="","",Ajustes!$B$2)</f>
        <v/>
      </c>
      <c r="I258" s="7">
        <f>IF(G258="","",ROUND(G258*H258,2))</f>
        <v/>
      </c>
      <c r="J258" s="8">
        <f>IF(A258="","",A258+Ajustes!$B$3)</f>
        <v/>
      </c>
      <c r="K258" s="3" t="n"/>
      <c r="L258" s="2" t="n"/>
      <c r="M258" s="3" t="n"/>
      <c r="N258" s="3" t="n"/>
    </row>
    <row r="259">
      <c r="A259" s="2" t="n"/>
      <c r="B259" s="3" t="n"/>
      <c r="C259" s="4">
        <f>IF(B259="","",IFERROR(INDEX(Agencias!$A$2:$A$32,MATCH(B259,Agencias!$B$2:$B$32,0)),"¿Agencia nueva?"))</f>
        <v/>
      </c>
      <c r="D259" s="3" t="n"/>
      <c r="E259" s="3" t="n"/>
      <c r="F259" s="3" t="n"/>
      <c r="G259" s="5" t="n"/>
      <c r="H259" s="6">
        <f>IF(G259="","",Ajustes!$B$2)</f>
        <v/>
      </c>
      <c r="I259" s="7">
        <f>IF(G259="","",ROUND(G259*H259,2))</f>
        <v/>
      </c>
      <c r="J259" s="8">
        <f>IF(A259="","",A259+Ajustes!$B$3)</f>
        <v/>
      </c>
      <c r="K259" s="3" t="n"/>
      <c r="L259" s="2" t="n"/>
      <c r="M259" s="3" t="n"/>
      <c r="N259" s="3" t="n"/>
    </row>
    <row r="260">
      <c r="A260" s="2" t="n"/>
      <c r="B260" s="3" t="n"/>
      <c r="C260" s="4">
        <f>IF(B260="","",IFERROR(INDEX(Agencias!$A$2:$A$32,MATCH(B260,Agencias!$B$2:$B$32,0)),"¿Agencia nueva?"))</f>
        <v/>
      </c>
      <c r="D260" s="3" t="n"/>
      <c r="E260" s="3" t="n"/>
      <c r="F260" s="3" t="n"/>
      <c r="G260" s="5" t="n"/>
      <c r="H260" s="6">
        <f>IF(G260="","",Ajustes!$B$2)</f>
        <v/>
      </c>
      <c r="I260" s="7">
        <f>IF(G260="","",ROUND(G260*H260,2))</f>
        <v/>
      </c>
      <c r="J260" s="8">
        <f>IF(A260="","",A260+Ajustes!$B$3)</f>
        <v/>
      </c>
      <c r="K260" s="3" t="n"/>
      <c r="L260" s="2" t="n"/>
      <c r="M260" s="3" t="n"/>
      <c r="N260" s="3" t="n"/>
    </row>
    <row r="261">
      <c r="A261" s="2" t="n"/>
      <c r="B261" s="3" t="n"/>
      <c r="C261" s="4">
        <f>IF(B261="","",IFERROR(INDEX(Agencias!$A$2:$A$32,MATCH(B261,Agencias!$B$2:$B$32,0)),"¿Agencia nueva?"))</f>
        <v/>
      </c>
      <c r="D261" s="3" t="n"/>
      <c r="E261" s="3" t="n"/>
      <c r="F261" s="3" t="n"/>
      <c r="G261" s="5" t="n"/>
      <c r="H261" s="6">
        <f>IF(G261="","",Ajustes!$B$2)</f>
        <v/>
      </c>
      <c r="I261" s="7">
        <f>IF(G261="","",ROUND(G261*H261,2))</f>
        <v/>
      </c>
      <c r="J261" s="8">
        <f>IF(A261="","",A261+Ajustes!$B$3)</f>
        <v/>
      </c>
      <c r="K261" s="3" t="n"/>
      <c r="L261" s="2" t="n"/>
      <c r="M261" s="3" t="n"/>
      <c r="N261" s="3" t="n"/>
    </row>
    <row r="262">
      <c r="A262" s="2" t="n"/>
      <c r="B262" s="3" t="n"/>
      <c r="C262" s="4">
        <f>IF(B262="","",IFERROR(INDEX(Agencias!$A$2:$A$32,MATCH(B262,Agencias!$B$2:$B$32,0)),"¿Agencia nueva?"))</f>
        <v/>
      </c>
      <c r="D262" s="3" t="n"/>
      <c r="E262" s="3" t="n"/>
      <c r="F262" s="3" t="n"/>
      <c r="G262" s="5" t="n"/>
      <c r="H262" s="6">
        <f>IF(G262="","",Ajustes!$B$2)</f>
        <v/>
      </c>
      <c r="I262" s="7">
        <f>IF(G262="","",ROUND(G262*H262,2))</f>
        <v/>
      </c>
      <c r="J262" s="8">
        <f>IF(A262="","",A262+Ajustes!$B$3)</f>
        <v/>
      </c>
      <c r="K262" s="3" t="n"/>
      <c r="L262" s="2" t="n"/>
      <c r="M262" s="3" t="n"/>
      <c r="N262" s="3" t="n"/>
    </row>
    <row r="263">
      <c r="A263" s="2" t="n"/>
      <c r="B263" s="3" t="n"/>
      <c r="C263" s="4">
        <f>IF(B263="","",IFERROR(INDEX(Agencias!$A$2:$A$32,MATCH(B263,Agencias!$B$2:$B$32,0)),"¿Agencia nueva?"))</f>
        <v/>
      </c>
      <c r="D263" s="3" t="n"/>
      <c r="E263" s="3" t="n"/>
      <c r="F263" s="3" t="n"/>
      <c r="G263" s="5" t="n"/>
      <c r="H263" s="6">
        <f>IF(G263="","",Ajustes!$B$2)</f>
        <v/>
      </c>
      <c r="I263" s="7">
        <f>IF(G263="","",ROUND(G263*H263,2))</f>
        <v/>
      </c>
      <c r="J263" s="8">
        <f>IF(A263="","",A263+Ajustes!$B$3)</f>
        <v/>
      </c>
      <c r="K263" s="3" t="n"/>
      <c r="L263" s="2" t="n"/>
      <c r="M263" s="3" t="n"/>
      <c r="N263" s="3" t="n"/>
    </row>
    <row r="264">
      <c r="A264" s="2" t="n"/>
      <c r="B264" s="3" t="n"/>
      <c r="C264" s="4">
        <f>IF(B264="","",IFERROR(INDEX(Agencias!$A$2:$A$32,MATCH(B264,Agencias!$B$2:$B$32,0)),"¿Agencia nueva?"))</f>
        <v/>
      </c>
      <c r="D264" s="3" t="n"/>
      <c r="E264" s="3" t="n"/>
      <c r="F264" s="3" t="n"/>
      <c r="G264" s="5" t="n"/>
      <c r="H264" s="6">
        <f>IF(G264="","",Ajustes!$B$2)</f>
        <v/>
      </c>
      <c r="I264" s="7">
        <f>IF(G264="","",ROUND(G264*H264,2))</f>
        <v/>
      </c>
      <c r="J264" s="8">
        <f>IF(A264="","",A264+Ajustes!$B$3)</f>
        <v/>
      </c>
      <c r="K264" s="3" t="n"/>
      <c r="L264" s="2" t="n"/>
      <c r="M264" s="3" t="n"/>
      <c r="N264" s="3" t="n"/>
    </row>
    <row r="265">
      <c r="A265" s="2" t="n"/>
      <c r="B265" s="3" t="n"/>
      <c r="C265" s="4">
        <f>IF(B265="","",IFERROR(INDEX(Agencias!$A$2:$A$32,MATCH(B265,Agencias!$B$2:$B$32,0)),"¿Agencia nueva?"))</f>
        <v/>
      </c>
      <c r="D265" s="3" t="n"/>
      <c r="E265" s="3" t="n"/>
      <c r="F265" s="3" t="n"/>
      <c r="G265" s="5" t="n"/>
      <c r="H265" s="6">
        <f>IF(G265="","",Ajustes!$B$2)</f>
        <v/>
      </c>
      <c r="I265" s="7">
        <f>IF(G265="","",ROUND(G265*H265,2))</f>
        <v/>
      </c>
      <c r="J265" s="8">
        <f>IF(A265="","",A265+Ajustes!$B$3)</f>
        <v/>
      </c>
      <c r="K265" s="3" t="n"/>
      <c r="L265" s="2" t="n"/>
      <c r="M265" s="3" t="n"/>
      <c r="N265" s="3" t="n"/>
    </row>
    <row r="266">
      <c r="A266" s="2" t="n"/>
      <c r="B266" s="3" t="n"/>
      <c r="C266" s="4">
        <f>IF(B266="","",IFERROR(INDEX(Agencias!$A$2:$A$32,MATCH(B266,Agencias!$B$2:$B$32,0)),"¿Agencia nueva?"))</f>
        <v/>
      </c>
      <c r="D266" s="3" t="n"/>
      <c r="E266" s="3" t="n"/>
      <c r="F266" s="3" t="n"/>
      <c r="G266" s="5" t="n"/>
      <c r="H266" s="6">
        <f>IF(G266="","",Ajustes!$B$2)</f>
        <v/>
      </c>
      <c r="I266" s="7">
        <f>IF(G266="","",ROUND(G266*H266,2))</f>
        <v/>
      </c>
      <c r="J266" s="8">
        <f>IF(A266="","",A266+Ajustes!$B$3)</f>
        <v/>
      </c>
      <c r="K266" s="3" t="n"/>
      <c r="L266" s="2" t="n"/>
      <c r="M266" s="3" t="n"/>
      <c r="N266" s="3" t="n"/>
    </row>
    <row r="267">
      <c r="A267" s="2" t="n"/>
      <c r="B267" s="3" t="n"/>
      <c r="C267" s="4">
        <f>IF(B267="","",IFERROR(INDEX(Agencias!$A$2:$A$32,MATCH(B267,Agencias!$B$2:$B$32,0)),"¿Agencia nueva?"))</f>
        <v/>
      </c>
      <c r="D267" s="3" t="n"/>
      <c r="E267" s="3" t="n"/>
      <c r="F267" s="3" t="n"/>
      <c r="G267" s="5" t="n"/>
      <c r="H267" s="6">
        <f>IF(G267="","",Ajustes!$B$2)</f>
        <v/>
      </c>
      <c r="I267" s="7">
        <f>IF(G267="","",ROUND(G267*H267,2))</f>
        <v/>
      </c>
      <c r="J267" s="8">
        <f>IF(A267="","",A267+Ajustes!$B$3)</f>
        <v/>
      </c>
      <c r="K267" s="3" t="n"/>
      <c r="L267" s="2" t="n"/>
      <c r="M267" s="3" t="n"/>
      <c r="N267" s="3" t="n"/>
    </row>
    <row r="268">
      <c r="A268" s="2" t="n"/>
      <c r="B268" s="3" t="n"/>
      <c r="C268" s="4">
        <f>IF(B268="","",IFERROR(INDEX(Agencias!$A$2:$A$32,MATCH(B268,Agencias!$B$2:$B$32,0)),"¿Agencia nueva?"))</f>
        <v/>
      </c>
      <c r="D268" s="3" t="n"/>
      <c r="E268" s="3" t="n"/>
      <c r="F268" s="3" t="n"/>
      <c r="G268" s="5" t="n"/>
      <c r="H268" s="6">
        <f>IF(G268="","",Ajustes!$B$2)</f>
        <v/>
      </c>
      <c r="I268" s="7">
        <f>IF(G268="","",ROUND(G268*H268,2))</f>
        <v/>
      </c>
      <c r="J268" s="8">
        <f>IF(A268="","",A268+Ajustes!$B$3)</f>
        <v/>
      </c>
      <c r="K268" s="3" t="n"/>
      <c r="L268" s="2" t="n"/>
      <c r="M268" s="3" t="n"/>
      <c r="N268" s="3" t="n"/>
    </row>
    <row r="269">
      <c r="A269" s="2" t="n"/>
      <c r="B269" s="3" t="n"/>
      <c r="C269" s="4">
        <f>IF(B269="","",IFERROR(INDEX(Agencias!$A$2:$A$32,MATCH(B269,Agencias!$B$2:$B$32,0)),"¿Agencia nueva?"))</f>
        <v/>
      </c>
      <c r="D269" s="3" t="n"/>
      <c r="E269" s="3" t="n"/>
      <c r="F269" s="3" t="n"/>
      <c r="G269" s="5" t="n"/>
      <c r="H269" s="6">
        <f>IF(G269="","",Ajustes!$B$2)</f>
        <v/>
      </c>
      <c r="I269" s="7">
        <f>IF(G269="","",ROUND(G269*H269,2))</f>
        <v/>
      </c>
      <c r="J269" s="8">
        <f>IF(A269="","",A269+Ajustes!$B$3)</f>
        <v/>
      </c>
      <c r="K269" s="3" t="n"/>
      <c r="L269" s="2" t="n"/>
      <c r="M269" s="3" t="n"/>
      <c r="N269" s="3" t="n"/>
    </row>
    <row r="270">
      <c r="A270" s="2" t="n"/>
      <c r="B270" s="3" t="n"/>
      <c r="C270" s="4">
        <f>IF(B270="","",IFERROR(INDEX(Agencias!$A$2:$A$32,MATCH(B270,Agencias!$B$2:$B$32,0)),"¿Agencia nueva?"))</f>
        <v/>
      </c>
      <c r="D270" s="3" t="n"/>
      <c r="E270" s="3" t="n"/>
      <c r="F270" s="3" t="n"/>
      <c r="G270" s="5" t="n"/>
      <c r="H270" s="6">
        <f>IF(G270="","",Ajustes!$B$2)</f>
        <v/>
      </c>
      <c r="I270" s="7">
        <f>IF(G270="","",ROUND(G270*H270,2))</f>
        <v/>
      </c>
      <c r="J270" s="8">
        <f>IF(A270="","",A270+Ajustes!$B$3)</f>
        <v/>
      </c>
      <c r="K270" s="3" t="n"/>
      <c r="L270" s="2" t="n"/>
      <c r="M270" s="3" t="n"/>
      <c r="N270" s="3" t="n"/>
    </row>
    <row r="271">
      <c r="A271" s="2" t="n"/>
      <c r="B271" s="3" t="n"/>
      <c r="C271" s="4">
        <f>IF(B271="","",IFERROR(INDEX(Agencias!$A$2:$A$32,MATCH(B271,Agencias!$B$2:$B$32,0)),"¿Agencia nueva?"))</f>
        <v/>
      </c>
      <c r="D271" s="3" t="n"/>
      <c r="E271" s="3" t="n"/>
      <c r="F271" s="3" t="n"/>
      <c r="G271" s="5" t="n"/>
      <c r="H271" s="6">
        <f>IF(G271="","",Ajustes!$B$2)</f>
        <v/>
      </c>
      <c r="I271" s="7">
        <f>IF(G271="","",ROUND(G271*H271,2))</f>
        <v/>
      </c>
      <c r="J271" s="8">
        <f>IF(A271="","",A271+Ajustes!$B$3)</f>
        <v/>
      </c>
      <c r="K271" s="3" t="n"/>
      <c r="L271" s="2" t="n"/>
      <c r="M271" s="3" t="n"/>
      <c r="N271" s="3" t="n"/>
    </row>
    <row r="272">
      <c r="A272" s="2" t="n"/>
      <c r="B272" s="3" t="n"/>
      <c r="C272" s="4">
        <f>IF(B272="","",IFERROR(INDEX(Agencias!$A$2:$A$32,MATCH(B272,Agencias!$B$2:$B$32,0)),"¿Agencia nueva?"))</f>
        <v/>
      </c>
      <c r="D272" s="3" t="n"/>
      <c r="E272" s="3" t="n"/>
      <c r="F272" s="3" t="n"/>
      <c r="G272" s="5" t="n"/>
      <c r="H272" s="6">
        <f>IF(G272="","",Ajustes!$B$2)</f>
        <v/>
      </c>
      <c r="I272" s="7">
        <f>IF(G272="","",ROUND(G272*H272,2))</f>
        <v/>
      </c>
      <c r="J272" s="8">
        <f>IF(A272="","",A272+Ajustes!$B$3)</f>
        <v/>
      </c>
      <c r="K272" s="3" t="n"/>
      <c r="L272" s="2" t="n"/>
      <c r="M272" s="3" t="n"/>
      <c r="N272" s="3" t="n"/>
    </row>
    <row r="273">
      <c r="A273" s="2" t="n"/>
      <c r="B273" s="3" t="n"/>
      <c r="C273" s="4">
        <f>IF(B273="","",IFERROR(INDEX(Agencias!$A$2:$A$32,MATCH(B273,Agencias!$B$2:$B$32,0)),"¿Agencia nueva?"))</f>
        <v/>
      </c>
      <c r="D273" s="3" t="n"/>
      <c r="E273" s="3" t="n"/>
      <c r="F273" s="3" t="n"/>
      <c r="G273" s="5" t="n"/>
      <c r="H273" s="6">
        <f>IF(G273="","",Ajustes!$B$2)</f>
        <v/>
      </c>
      <c r="I273" s="7">
        <f>IF(G273="","",ROUND(G273*H273,2))</f>
        <v/>
      </c>
      <c r="J273" s="8">
        <f>IF(A273="","",A273+Ajustes!$B$3)</f>
        <v/>
      </c>
      <c r="K273" s="3" t="n"/>
      <c r="L273" s="2" t="n"/>
      <c r="M273" s="3" t="n"/>
      <c r="N273" s="3" t="n"/>
    </row>
    <row r="274">
      <c r="A274" s="2" t="n"/>
      <c r="B274" s="3" t="n"/>
      <c r="C274" s="4">
        <f>IF(B274="","",IFERROR(INDEX(Agencias!$A$2:$A$32,MATCH(B274,Agencias!$B$2:$B$32,0)),"¿Agencia nueva?"))</f>
        <v/>
      </c>
      <c r="D274" s="3" t="n"/>
      <c r="E274" s="3" t="n"/>
      <c r="F274" s="3" t="n"/>
      <c r="G274" s="5" t="n"/>
      <c r="H274" s="6">
        <f>IF(G274="","",Ajustes!$B$2)</f>
        <v/>
      </c>
      <c r="I274" s="7">
        <f>IF(G274="","",ROUND(G274*H274,2))</f>
        <v/>
      </c>
      <c r="J274" s="8">
        <f>IF(A274="","",A274+Ajustes!$B$3)</f>
        <v/>
      </c>
      <c r="K274" s="3" t="n"/>
      <c r="L274" s="2" t="n"/>
      <c r="M274" s="3" t="n"/>
      <c r="N274" s="3" t="n"/>
    </row>
    <row r="275">
      <c r="A275" s="2" t="n"/>
      <c r="B275" s="3" t="n"/>
      <c r="C275" s="4">
        <f>IF(B275="","",IFERROR(INDEX(Agencias!$A$2:$A$32,MATCH(B275,Agencias!$B$2:$B$32,0)),"¿Agencia nueva?"))</f>
        <v/>
      </c>
      <c r="D275" s="3" t="n"/>
      <c r="E275" s="3" t="n"/>
      <c r="F275" s="3" t="n"/>
      <c r="G275" s="5" t="n"/>
      <c r="H275" s="6">
        <f>IF(G275="","",Ajustes!$B$2)</f>
        <v/>
      </c>
      <c r="I275" s="7">
        <f>IF(G275="","",ROUND(G275*H275,2))</f>
        <v/>
      </c>
      <c r="J275" s="8">
        <f>IF(A275="","",A275+Ajustes!$B$3)</f>
        <v/>
      </c>
      <c r="K275" s="3" t="n"/>
      <c r="L275" s="2" t="n"/>
      <c r="M275" s="3" t="n"/>
      <c r="N275" s="3" t="n"/>
    </row>
    <row r="276">
      <c r="A276" s="2" t="n"/>
      <c r="B276" s="3" t="n"/>
      <c r="C276" s="4">
        <f>IF(B276="","",IFERROR(INDEX(Agencias!$A$2:$A$32,MATCH(B276,Agencias!$B$2:$B$32,0)),"¿Agencia nueva?"))</f>
        <v/>
      </c>
      <c r="D276" s="3" t="n"/>
      <c r="E276" s="3" t="n"/>
      <c r="F276" s="3" t="n"/>
      <c r="G276" s="5" t="n"/>
      <c r="H276" s="6">
        <f>IF(G276="","",Ajustes!$B$2)</f>
        <v/>
      </c>
      <c r="I276" s="7">
        <f>IF(G276="","",ROUND(G276*H276,2))</f>
        <v/>
      </c>
      <c r="J276" s="8">
        <f>IF(A276="","",A276+Ajustes!$B$3)</f>
        <v/>
      </c>
      <c r="K276" s="3" t="n"/>
      <c r="L276" s="2" t="n"/>
      <c r="M276" s="3" t="n"/>
      <c r="N276" s="3" t="n"/>
    </row>
    <row r="277">
      <c r="A277" s="2" t="n"/>
      <c r="B277" s="3" t="n"/>
      <c r="C277" s="4">
        <f>IF(B277="","",IFERROR(INDEX(Agencias!$A$2:$A$32,MATCH(B277,Agencias!$B$2:$B$32,0)),"¿Agencia nueva?"))</f>
        <v/>
      </c>
      <c r="D277" s="3" t="n"/>
      <c r="E277" s="3" t="n"/>
      <c r="F277" s="3" t="n"/>
      <c r="G277" s="5" t="n"/>
      <c r="H277" s="6">
        <f>IF(G277="","",Ajustes!$B$2)</f>
        <v/>
      </c>
      <c r="I277" s="7">
        <f>IF(G277="","",ROUND(G277*H277,2))</f>
        <v/>
      </c>
      <c r="J277" s="8">
        <f>IF(A277="","",A277+Ajustes!$B$3)</f>
        <v/>
      </c>
      <c r="K277" s="3" t="n"/>
      <c r="L277" s="2" t="n"/>
      <c r="M277" s="3" t="n"/>
      <c r="N277" s="3" t="n"/>
    </row>
    <row r="278">
      <c r="A278" s="2" t="n"/>
      <c r="B278" s="3" t="n"/>
      <c r="C278" s="4">
        <f>IF(B278="","",IFERROR(INDEX(Agencias!$A$2:$A$32,MATCH(B278,Agencias!$B$2:$B$32,0)),"¿Agencia nueva?"))</f>
        <v/>
      </c>
      <c r="D278" s="3" t="n"/>
      <c r="E278" s="3" t="n"/>
      <c r="F278" s="3" t="n"/>
      <c r="G278" s="5" t="n"/>
      <c r="H278" s="6">
        <f>IF(G278="","",Ajustes!$B$2)</f>
        <v/>
      </c>
      <c r="I278" s="7">
        <f>IF(G278="","",ROUND(G278*H278,2))</f>
        <v/>
      </c>
      <c r="J278" s="8">
        <f>IF(A278="","",A278+Ajustes!$B$3)</f>
        <v/>
      </c>
      <c r="K278" s="3" t="n"/>
      <c r="L278" s="2" t="n"/>
      <c r="M278" s="3" t="n"/>
      <c r="N278" s="3" t="n"/>
    </row>
    <row r="279">
      <c r="A279" s="2" t="n"/>
      <c r="B279" s="3" t="n"/>
      <c r="C279" s="4">
        <f>IF(B279="","",IFERROR(INDEX(Agencias!$A$2:$A$32,MATCH(B279,Agencias!$B$2:$B$32,0)),"¿Agencia nueva?"))</f>
        <v/>
      </c>
      <c r="D279" s="3" t="n"/>
      <c r="E279" s="3" t="n"/>
      <c r="F279" s="3" t="n"/>
      <c r="G279" s="5" t="n"/>
      <c r="H279" s="6">
        <f>IF(G279="","",Ajustes!$B$2)</f>
        <v/>
      </c>
      <c r="I279" s="7">
        <f>IF(G279="","",ROUND(G279*H279,2))</f>
        <v/>
      </c>
      <c r="J279" s="8">
        <f>IF(A279="","",A279+Ajustes!$B$3)</f>
        <v/>
      </c>
      <c r="K279" s="3" t="n"/>
      <c r="L279" s="2" t="n"/>
      <c r="M279" s="3" t="n"/>
      <c r="N279" s="3" t="n"/>
    </row>
    <row r="280">
      <c r="A280" s="2" t="n"/>
      <c r="B280" s="3" t="n"/>
      <c r="C280" s="4">
        <f>IF(B280="","",IFERROR(INDEX(Agencias!$A$2:$A$32,MATCH(B280,Agencias!$B$2:$B$32,0)),"¿Agencia nueva?"))</f>
        <v/>
      </c>
      <c r="D280" s="3" t="n"/>
      <c r="E280" s="3" t="n"/>
      <c r="F280" s="3" t="n"/>
      <c r="G280" s="5" t="n"/>
      <c r="H280" s="6">
        <f>IF(G280="","",Ajustes!$B$2)</f>
        <v/>
      </c>
      <c r="I280" s="7">
        <f>IF(G280="","",ROUND(G280*H280,2))</f>
        <v/>
      </c>
      <c r="J280" s="8">
        <f>IF(A280="","",A280+Ajustes!$B$3)</f>
        <v/>
      </c>
      <c r="K280" s="3" t="n"/>
      <c r="L280" s="2" t="n"/>
      <c r="M280" s="3" t="n"/>
      <c r="N280" s="3" t="n"/>
    </row>
    <row r="281">
      <c r="A281" s="2" t="n"/>
      <c r="B281" s="3" t="n"/>
      <c r="C281" s="4">
        <f>IF(B281="","",IFERROR(INDEX(Agencias!$A$2:$A$32,MATCH(B281,Agencias!$B$2:$B$32,0)),"¿Agencia nueva?"))</f>
        <v/>
      </c>
      <c r="D281" s="3" t="n"/>
      <c r="E281" s="3" t="n"/>
      <c r="F281" s="3" t="n"/>
      <c r="G281" s="5" t="n"/>
      <c r="H281" s="6">
        <f>IF(G281="","",Ajustes!$B$2)</f>
        <v/>
      </c>
      <c r="I281" s="7">
        <f>IF(G281="","",ROUND(G281*H281,2))</f>
        <v/>
      </c>
      <c r="J281" s="8">
        <f>IF(A281="","",A281+Ajustes!$B$3)</f>
        <v/>
      </c>
      <c r="K281" s="3" t="n"/>
      <c r="L281" s="2" t="n"/>
      <c r="M281" s="3" t="n"/>
      <c r="N281" s="3" t="n"/>
    </row>
    <row r="282">
      <c r="A282" s="2" t="n"/>
      <c r="B282" s="3" t="n"/>
      <c r="C282" s="4">
        <f>IF(B282="","",IFERROR(INDEX(Agencias!$A$2:$A$32,MATCH(B282,Agencias!$B$2:$B$32,0)),"¿Agencia nueva?"))</f>
        <v/>
      </c>
      <c r="D282" s="3" t="n"/>
      <c r="E282" s="3" t="n"/>
      <c r="F282" s="3" t="n"/>
      <c r="G282" s="5" t="n"/>
      <c r="H282" s="6">
        <f>IF(G282="","",Ajustes!$B$2)</f>
        <v/>
      </c>
      <c r="I282" s="7">
        <f>IF(G282="","",ROUND(G282*H282,2))</f>
        <v/>
      </c>
      <c r="J282" s="8">
        <f>IF(A282="","",A282+Ajustes!$B$3)</f>
        <v/>
      </c>
      <c r="K282" s="3" t="n"/>
      <c r="L282" s="2" t="n"/>
      <c r="M282" s="3" t="n"/>
      <c r="N282" s="3" t="n"/>
    </row>
    <row r="283">
      <c r="A283" s="2" t="n"/>
      <c r="B283" s="3" t="n"/>
      <c r="C283" s="4">
        <f>IF(B283="","",IFERROR(INDEX(Agencias!$A$2:$A$32,MATCH(B283,Agencias!$B$2:$B$32,0)),"¿Agencia nueva?"))</f>
        <v/>
      </c>
      <c r="D283" s="3" t="n"/>
      <c r="E283" s="3" t="n"/>
      <c r="F283" s="3" t="n"/>
      <c r="G283" s="5" t="n"/>
      <c r="H283" s="6">
        <f>IF(G283="","",Ajustes!$B$2)</f>
        <v/>
      </c>
      <c r="I283" s="7">
        <f>IF(G283="","",ROUND(G283*H283,2))</f>
        <v/>
      </c>
      <c r="J283" s="8">
        <f>IF(A283="","",A283+Ajustes!$B$3)</f>
        <v/>
      </c>
      <c r="K283" s="3" t="n"/>
      <c r="L283" s="2" t="n"/>
      <c r="M283" s="3" t="n"/>
      <c r="N283" s="3" t="n"/>
    </row>
    <row r="284">
      <c r="A284" s="2" t="n"/>
      <c r="B284" s="3" t="n"/>
      <c r="C284" s="4">
        <f>IF(B284="","",IFERROR(INDEX(Agencias!$A$2:$A$32,MATCH(B284,Agencias!$B$2:$B$32,0)),"¿Agencia nueva?"))</f>
        <v/>
      </c>
      <c r="D284" s="3" t="n"/>
      <c r="E284" s="3" t="n"/>
      <c r="F284" s="3" t="n"/>
      <c r="G284" s="5" t="n"/>
      <c r="H284" s="6">
        <f>IF(G284="","",Ajustes!$B$2)</f>
        <v/>
      </c>
      <c r="I284" s="7">
        <f>IF(G284="","",ROUND(G284*H284,2))</f>
        <v/>
      </c>
      <c r="J284" s="8">
        <f>IF(A284="","",A284+Ajustes!$B$3)</f>
        <v/>
      </c>
      <c r="K284" s="3" t="n"/>
      <c r="L284" s="2" t="n"/>
      <c r="M284" s="3" t="n"/>
      <c r="N284" s="3" t="n"/>
    </row>
    <row r="285">
      <c r="A285" s="2" t="n"/>
      <c r="B285" s="3" t="n"/>
      <c r="C285" s="4">
        <f>IF(B285="","",IFERROR(INDEX(Agencias!$A$2:$A$32,MATCH(B285,Agencias!$B$2:$B$32,0)),"¿Agencia nueva?"))</f>
        <v/>
      </c>
      <c r="D285" s="3" t="n"/>
      <c r="E285" s="3" t="n"/>
      <c r="F285" s="3" t="n"/>
      <c r="G285" s="5" t="n"/>
      <c r="H285" s="6">
        <f>IF(G285="","",Ajustes!$B$2)</f>
        <v/>
      </c>
      <c r="I285" s="7">
        <f>IF(G285="","",ROUND(G285*H285,2))</f>
        <v/>
      </c>
      <c r="J285" s="8">
        <f>IF(A285="","",A285+Ajustes!$B$3)</f>
        <v/>
      </c>
      <c r="K285" s="3" t="n"/>
      <c r="L285" s="2" t="n"/>
      <c r="M285" s="3" t="n"/>
      <c r="N285" s="3" t="n"/>
    </row>
    <row r="286">
      <c r="A286" s="2" t="n"/>
      <c r="B286" s="3" t="n"/>
      <c r="C286" s="4">
        <f>IF(B286="","",IFERROR(INDEX(Agencias!$A$2:$A$32,MATCH(B286,Agencias!$B$2:$B$32,0)),"¿Agencia nueva?"))</f>
        <v/>
      </c>
      <c r="D286" s="3" t="n"/>
      <c r="E286" s="3" t="n"/>
      <c r="F286" s="3" t="n"/>
      <c r="G286" s="5" t="n"/>
      <c r="H286" s="6">
        <f>IF(G286="","",Ajustes!$B$2)</f>
        <v/>
      </c>
      <c r="I286" s="7">
        <f>IF(G286="","",ROUND(G286*H286,2))</f>
        <v/>
      </c>
      <c r="J286" s="8">
        <f>IF(A286="","",A286+Ajustes!$B$3)</f>
        <v/>
      </c>
      <c r="K286" s="3" t="n"/>
      <c r="L286" s="2" t="n"/>
      <c r="M286" s="3" t="n"/>
      <c r="N286" s="3" t="n"/>
    </row>
    <row r="287">
      <c r="A287" s="2" t="n"/>
      <c r="B287" s="3" t="n"/>
      <c r="C287" s="4">
        <f>IF(B287="","",IFERROR(INDEX(Agencias!$A$2:$A$32,MATCH(B287,Agencias!$B$2:$B$32,0)),"¿Agencia nueva?"))</f>
        <v/>
      </c>
      <c r="D287" s="3" t="n"/>
      <c r="E287" s="3" t="n"/>
      <c r="F287" s="3" t="n"/>
      <c r="G287" s="5" t="n"/>
      <c r="H287" s="6">
        <f>IF(G287="","",Ajustes!$B$2)</f>
        <v/>
      </c>
      <c r="I287" s="7">
        <f>IF(G287="","",ROUND(G287*H287,2))</f>
        <v/>
      </c>
      <c r="J287" s="8">
        <f>IF(A287="","",A287+Ajustes!$B$3)</f>
        <v/>
      </c>
      <c r="K287" s="3" t="n"/>
      <c r="L287" s="2" t="n"/>
      <c r="M287" s="3" t="n"/>
      <c r="N287" s="3" t="n"/>
    </row>
    <row r="288">
      <c r="A288" s="2" t="n"/>
      <c r="B288" s="3" t="n"/>
      <c r="C288" s="4">
        <f>IF(B288="","",IFERROR(INDEX(Agencias!$A$2:$A$32,MATCH(B288,Agencias!$B$2:$B$32,0)),"¿Agencia nueva?"))</f>
        <v/>
      </c>
      <c r="D288" s="3" t="n"/>
      <c r="E288" s="3" t="n"/>
      <c r="F288" s="3" t="n"/>
      <c r="G288" s="5" t="n"/>
      <c r="H288" s="6">
        <f>IF(G288="","",Ajustes!$B$2)</f>
        <v/>
      </c>
      <c r="I288" s="7">
        <f>IF(G288="","",ROUND(G288*H288,2))</f>
        <v/>
      </c>
      <c r="J288" s="8">
        <f>IF(A288="","",A288+Ajustes!$B$3)</f>
        <v/>
      </c>
      <c r="K288" s="3" t="n"/>
      <c r="L288" s="2" t="n"/>
      <c r="M288" s="3" t="n"/>
      <c r="N288" s="3" t="n"/>
    </row>
    <row r="289">
      <c r="A289" s="2" t="n"/>
      <c r="B289" s="3" t="n"/>
      <c r="C289" s="4">
        <f>IF(B289="","",IFERROR(INDEX(Agencias!$A$2:$A$32,MATCH(B289,Agencias!$B$2:$B$32,0)),"¿Agencia nueva?"))</f>
        <v/>
      </c>
      <c r="D289" s="3" t="n"/>
      <c r="E289" s="3" t="n"/>
      <c r="F289" s="3" t="n"/>
      <c r="G289" s="5" t="n"/>
      <c r="H289" s="6">
        <f>IF(G289="","",Ajustes!$B$2)</f>
        <v/>
      </c>
      <c r="I289" s="7">
        <f>IF(G289="","",ROUND(G289*H289,2))</f>
        <v/>
      </c>
      <c r="J289" s="8">
        <f>IF(A289="","",A289+Ajustes!$B$3)</f>
        <v/>
      </c>
      <c r="K289" s="3" t="n"/>
      <c r="L289" s="2" t="n"/>
      <c r="M289" s="3" t="n"/>
      <c r="N289" s="3" t="n"/>
    </row>
    <row r="290">
      <c r="A290" s="2" t="n"/>
      <c r="B290" s="3" t="n"/>
      <c r="C290" s="4">
        <f>IF(B290="","",IFERROR(INDEX(Agencias!$A$2:$A$32,MATCH(B290,Agencias!$B$2:$B$32,0)),"¿Agencia nueva?"))</f>
        <v/>
      </c>
      <c r="D290" s="3" t="n"/>
      <c r="E290" s="3" t="n"/>
      <c r="F290" s="3" t="n"/>
      <c r="G290" s="5" t="n"/>
      <c r="H290" s="6">
        <f>IF(G290="","",Ajustes!$B$2)</f>
        <v/>
      </c>
      <c r="I290" s="7">
        <f>IF(G290="","",ROUND(G290*H290,2))</f>
        <v/>
      </c>
      <c r="J290" s="8">
        <f>IF(A290="","",A290+Ajustes!$B$3)</f>
        <v/>
      </c>
      <c r="K290" s="3" t="n"/>
      <c r="L290" s="2" t="n"/>
      <c r="M290" s="3" t="n"/>
      <c r="N290" s="3" t="n"/>
    </row>
    <row r="291">
      <c r="A291" s="2" t="n"/>
      <c r="B291" s="3" t="n"/>
      <c r="C291" s="4">
        <f>IF(B291="","",IFERROR(INDEX(Agencias!$A$2:$A$32,MATCH(B291,Agencias!$B$2:$B$32,0)),"¿Agencia nueva?"))</f>
        <v/>
      </c>
      <c r="D291" s="3" t="n"/>
      <c r="E291" s="3" t="n"/>
      <c r="F291" s="3" t="n"/>
      <c r="G291" s="5" t="n"/>
      <c r="H291" s="6">
        <f>IF(G291="","",Ajustes!$B$2)</f>
        <v/>
      </c>
      <c r="I291" s="7">
        <f>IF(G291="","",ROUND(G291*H291,2))</f>
        <v/>
      </c>
      <c r="J291" s="8">
        <f>IF(A291="","",A291+Ajustes!$B$3)</f>
        <v/>
      </c>
      <c r="K291" s="3" t="n"/>
      <c r="L291" s="2" t="n"/>
      <c r="M291" s="3" t="n"/>
      <c r="N291" s="3" t="n"/>
    </row>
    <row r="292">
      <c r="A292" s="2" t="n"/>
      <c r="B292" s="3" t="n"/>
      <c r="C292" s="4">
        <f>IF(B292="","",IFERROR(INDEX(Agencias!$A$2:$A$32,MATCH(B292,Agencias!$B$2:$B$32,0)),"¿Agencia nueva?"))</f>
        <v/>
      </c>
      <c r="D292" s="3" t="n"/>
      <c r="E292" s="3" t="n"/>
      <c r="F292" s="3" t="n"/>
      <c r="G292" s="5" t="n"/>
      <c r="H292" s="6">
        <f>IF(G292="","",Ajustes!$B$2)</f>
        <v/>
      </c>
      <c r="I292" s="7">
        <f>IF(G292="","",ROUND(G292*H292,2))</f>
        <v/>
      </c>
      <c r="J292" s="8">
        <f>IF(A292="","",A292+Ajustes!$B$3)</f>
        <v/>
      </c>
      <c r="K292" s="3" t="n"/>
      <c r="L292" s="2" t="n"/>
      <c r="M292" s="3" t="n"/>
      <c r="N292" s="3" t="n"/>
    </row>
    <row r="293">
      <c r="A293" s="2" t="n"/>
      <c r="B293" s="3" t="n"/>
      <c r="C293" s="4">
        <f>IF(B293="","",IFERROR(INDEX(Agencias!$A$2:$A$32,MATCH(B293,Agencias!$B$2:$B$32,0)),"¿Agencia nueva?"))</f>
        <v/>
      </c>
      <c r="D293" s="3" t="n"/>
      <c r="E293" s="3" t="n"/>
      <c r="F293" s="3" t="n"/>
      <c r="G293" s="5" t="n"/>
      <c r="H293" s="6">
        <f>IF(G293="","",Ajustes!$B$2)</f>
        <v/>
      </c>
      <c r="I293" s="7">
        <f>IF(G293="","",ROUND(G293*H293,2))</f>
        <v/>
      </c>
      <c r="J293" s="8">
        <f>IF(A293="","",A293+Ajustes!$B$3)</f>
        <v/>
      </c>
      <c r="K293" s="3" t="n"/>
      <c r="L293" s="2" t="n"/>
      <c r="M293" s="3" t="n"/>
      <c r="N293" s="3" t="n"/>
    </row>
    <row r="294">
      <c r="A294" s="2" t="n"/>
      <c r="B294" s="3" t="n"/>
      <c r="C294" s="4">
        <f>IF(B294="","",IFERROR(INDEX(Agencias!$A$2:$A$32,MATCH(B294,Agencias!$B$2:$B$32,0)),"¿Agencia nueva?"))</f>
        <v/>
      </c>
      <c r="D294" s="3" t="n"/>
      <c r="E294" s="3" t="n"/>
      <c r="F294" s="3" t="n"/>
      <c r="G294" s="5" t="n"/>
      <c r="H294" s="6">
        <f>IF(G294="","",Ajustes!$B$2)</f>
        <v/>
      </c>
      <c r="I294" s="7">
        <f>IF(G294="","",ROUND(G294*H294,2))</f>
        <v/>
      </c>
      <c r="J294" s="8">
        <f>IF(A294="","",A294+Ajustes!$B$3)</f>
        <v/>
      </c>
      <c r="K294" s="3" t="n"/>
      <c r="L294" s="2" t="n"/>
      <c r="M294" s="3" t="n"/>
      <c r="N294" s="3" t="n"/>
    </row>
    <row r="295">
      <c r="A295" s="2" t="n"/>
      <c r="B295" s="3" t="n"/>
      <c r="C295" s="4">
        <f>IF(B295="","",IFERROR(INDEX(Agencias!$A$2:$A$32,MATCH(B295,Agencias!$B$2:$B$32,0)),"¿Agencia nueva?"))</f>
        <v/>
      </c>
      <c r="D295" s="3" t="n"/>
      <c r="E295" s="3" t="n"/>
      <c r="F295" s="3" t="n"/>
      <c r="G295" s="5" t="n"/>
      <c r="H295" s="6">
        <f>IF(G295="","",Ajustes!$B$2)</f>
        <v/>
      </c>
      <c r="I295" s="7">
        <f>IF(G295="","",ROUND(G295*H295,2))</f>
        <v/>
      </c>
      <c r="J295" s="8">
        <f>IF(A295="","",A295+Ajustes!$B$3)</f>
        <v/>
      </c>
      <c r="K295" s="3" t="n"/>
      <c r="L295" s="2" t="n"/>
      <c r="M295" s="3" t="n"/>
      <c r="N295" s="3" t="n"/>
    </row>
    <row r="296">
      <c r="A296" s="2" t="n"/>
      <c r="B296" s="3" t="n"/>
      <c r="C296" s="4">
        <f>IF(B296="","",IFERROR(INDEX(Agencias!$A$2:$A$32,MATCH(B296,Agencias!$B$2:$B$32,0)),"¿Agencia nueva?"))</f>
        <v/>
      </c>
      <c r="D296" s="3" t="n"/>
      <c r="E296" s="3" t="n"/>
      <c r="F296" s="3" t="n"/>
      <c r="G296" s="5" t="n"/>
      <c r="H296" s="6">
        <f>IF(G296="","",Ajustes!$B$2)</f>
        <v/>
      </c>
      <c r="I296" s="7">
        <f>IF(G296="","",ROUND(G296*H296,2))</f>
        <v/>
      </c>
      <c r="J296" s="8">
        <f>IF(A296="","",A296+Ajustes!$B$3)</f>
        <v/>
      </c>
      <c r="K296" s="3" t="n"/>
      <c r="L296" s="2" t="n"/>
      <c r="M296" s="3" t="n"/>
      <c r="N296" s="3" t="n"/>
    </row>
    <row r="297">
      <c r="A297" s="2" t="n"/>
      <c r="B297" s="3" t="n"/>
      <c r="C297" s="4">
        <f>IF(B297="","",IFERROR(INDEX(Agencias!$A$2:$A$32,MATCH(B297,Agencias!$B$2:$B$32,0)),"¿Agencia nueva?"))</f>
        <v/>
      </c>
      <c r="D297" s="3" t="n"/>
      <c r="E297" s="3" t="n"/>
      <c r="F297" s="3" t="n"/>
      <c r="G297" s="5" t="n"/>
      <c r="H297" s="6">
        <f>IF(G297="","",Ajustes!$B$2)</f>
        <v/>
      </c>
      <c r="I297" s="7">
        <f>IF(G297="","",ROUND(G297*H297,2))</f>
        <v/>
      </c>
      <c r="J297" s="8">
        <f>IF(A297="","",A297+Ajustes!$B$3)</f>
        <v/>
      </c>
      <c r="K297" s="3" t="n"/>
      <c r="L297" s="2" t="n"/>
      <c r="M297" s="3" t="n"/>
      <c r="N297" s="3" t="n"/>
    </row>
    <row r="298">
      <c r="A298" s="2" t="n"/>
      <c r="B298" s="3" t="n"/>
      <c r="C298" s="4">
        <f>IF(B298="","",IFERROR(INDEX(Agencias!$A$2:$A$32,MATCH(B298,Agencias!$B$2:$B$32,0)),"¿Agencia nueva?"))</f>
        <v/>
      </c>
      <c r="D298" s="3" t="n"/>
      <c r="E298" s="3" t="n"/>
      <c r="F298" s="3" t="n"/>
      <c r="G298" s="5" t="n"/>
      <c r="H298" s="6">
        <f>IF(G298="","",Ajustes!$B$2)</f>
        <v/>
      </c>
      <c r="I298" s="7">
        <f>IF(G298="","",ROUND(G298*H298,2))</f>
        <v/>
      </c>
      <c r="J298" s="8">
        <f>IF(A298="","",A298+Ajustes!$B$3)</f>
        <v/>
      </c>
      <c r="K298" s="3" t="n"/>
      <c r="L298" s="2" t="n"/>
      <c r="M298" s="3" t="n"/>
      <c r="N298" s="3" t="n"/>
    </row>
    <row r="299">
      <c r="A299" s="2" t="n"/>
      <c r="B299" s="3" t="n"/>
      <c r="C299" s="4">
        <f>IF(B299="","",IFERROR(INDEX(Agencias!$A$2:$A$32,MATCH(B299,Agencias!$B$2:$B$32,0)),"¿Agencia nueva?"))</f>
        <v/>
      </c>
      <c r="D299" s="3" t="n"/>
      <c r="E299" s="3" t="n"/>
      <c r="F299" s="3" t="n"/>
      <c r="G299" s="5" t="n"/>
      <c r="H299" s="6">
        <f>IF(G299="","",Ajustes!$B$2)</f>
        <v/>
      </c>
      <c r="I299" s="7">
        <f>IF(G299="","",ROUND(G299*H299,2))</f>
        <v/>
      </c>
      <c r="J299" s="8">
        <f>IF(A299="","",A299+Ajustes!$B$3)</f>
        <v/>
      </c>
      <c r="K299" s="3" t="n"/>
      <c r="L299" s="2" t="n"/>
      <c r="M299" s="3" t="n"/>
      <c r="N299" s="3" t="n"/>
    </row>
    <row r="300">
      <c r="A300" s="2" t="n"/>
      <c r="B300" s="3" t="n"/>
      <c r="C300" s="4">
        <f>IF(B300="","",IFERROR(INDEX(Agencias!$A$2:$A$32,MATCH(B300,Agencias!$B$2:$B$32,0)),"¿Agencia nueva?"))</f>
        <v/>
      </c>
      <c r="D300" s="3" t="n"/>
      <c r="E300" s="3" t="n"/>
      <c r="F300" s="3" t="n"/>
      <c r="G300" s="5" t="n"/>
      <c r="H300" s="6">
        <f>IF(G300="","",Ajustes!$B$2)</f>
        <v/>
      </c>
      <c r="I300" s="7">
        <f>IF(G300="","",ROUND(G300*H300,2))</f>
        <v/>
      </c>
      <c r="J300" s="8">
        <f>IF(A300="","",A300+Ajustes!$B$3)</f>
        <v/>
      </c>
      <c r="K300" s="3" t="n"/>
      <c r="L300" s="2" t="n"/>
      <c r="M300" s="3" t="n"/>
      <c r="N300" s="3" t="n"/>
    </row>
    <row r="301">
      <c r="A301" s="2" t="n"/>
      <c r="B301" s="3" t="n"/>
      <c r="C301" s="4">
        <f>IF(B301="","",IFERROR(INDEX(Agencias!$A$2:$A$32,MATCH(B301,Agencias!$B$2:$B$32,0)),"¿Agencia nueva?"))</f>
        <v/>
      </c>
      <c r="D301" s="3" t="n"/>
      <c r="E301" s="3" t="n"/>
      <c r="F301" s="3" t="n"/>
      <c r="G301" s="5" t="n"/>
      <c r="H301" s="6">
        <f>IF(G301="","",Ajustes!$B$2)</f>
        <v/>
      </c>
      <c r="I301" s="7">
        <f>IF(G301="","",ROUND(G301*H301,2))</f>
        <v/>
      </c>
      <c r="J301" s="8">
        <f>IF(A301="","",A301+Ajustes!$B$3)</f>
        <v/>
      </c>
      <c r="K301" s="3" t="n"/>
      <c r="L301" s="2" t="n"/>
      <c r="M301" s="3" t="n"/>
      <c r="N301" s="3" t="n"/>
    </row>
  </sheetData>
  <dataValidations count="3">
    <dataValidation sqref="K2:K301" showDropDown="0" showInputMessage="0" showErrorMessage="0" allowBlank="1" type="list">
      <formula1>"Sí,No"</formula1>
    </dataValidation>
    <dataValidation sqref="M2:M301" showDropDown="0" showInputMessage="0" showErrorMessage="0" allowBlank="1" type="list">
      <formula1>"PayPal,Wise,Transferencia"</formula1>
    </dataValidation>
    <dataValidation sqref="E2:E301" showDropDown="0" showInputMessage="0" showErrorMessage="0" allowBlank="1" type="list">
      <formula1>"Paseo privado 3 h,Paseo + personas extra,Taller de paella,Paseo + paella,Grupo / alojamiento"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44" customWidth="1" min="3" max="3"/>
    <col width="22" customWidth="1" min="4" max="4"/>
    <col width="26" customWidth="1" min="5" max="5"/>
    <col width="16" customWidth="1" min="6" max="6"/>
    <col width="16" customWidth="1" min="7" max="7"/>
    <col width="18" customWidth="1" min="8" max="8"/>
  </cols>
  <sheetData>
    <row r="1" ht="30" customHeight="1">
      <c r="A1" s="1" t="inlineStr">
        <is>
          <t>Agencia</t>
        </is>
      </c>
      <c r="B1" s="1" t="inlineStr">
        <is>
          <t>Código ref</t>
        </is>
      </c>
      <c r="C1" s="1" t="inlineStr">
        <is>
          <t>Enlace para la agencia</t>
        </is>
      </c>
      <c r="D1" s="1" t="inlineStr">
        <is>
          <t>Contacto</t>
        </is>
      </c>
      <c r="E1" s="1" t="inlineStr">
        <is>
          <t>Email / WhatsApp</t>
        </is>
      </c>
      <c r="F1" s="1" t="inlineStr">
        <is>
          <t>Total vendido (€)</t>
        </is>
      </c>
      <c r="G1" s="1" t="inlineStr">
        <is>
          <t>Comisión total (€)</t>
        </is>
      </c>
      <c r="H1" s="1" t="inlineStr">
        <is>
          <t>Comisión pendiente (€)</t>
        </is>
      </c>
    </row>
    <row r="2">
      <c r="A2" s="3" t="inlineStr">
        <is>
          <t>Agencia de prueba</t>
        </is>
      </c>
      <c r="B2" s="3" t="inlineStr">
        <is>
          <t>test-agency</t>
        </is>
      </c>
      <c r="C2" s="4">
        <f>IF(B2="","",Ajustes!$B$4&amp;B2)</f>
        <v/>
      </c>
      <c r="D2" s="3" t="inlineStr">
        <is>
          <t>(nombre del advisor)</t>
        </is>
      </c>
      <c r="E2" s="3" t="inlineStr">
        <is>
          <t>advisor@example.com</t>
        </is>
      </c>
      <c r="F2" s="7">
        <f>IF(B2="","",SUMIFS(Reservas!$G$2:$G$301,Reservas!$B$2:$B$301,B2))</f>
        <v/>
      </c>
      <c r="G2" s="7">
        <f>IF(B2="","",SUMIFS(Reservas!$I$2:$I$301,Reservas!$B$2:$B$301,B2))</f>
        <v/>
      </c>
      <c r="H2" s="7">
        <f>IF(B2="","",SUMIFS(Reservas!$I$2:$I$301,Reservas!$B$2:$B$301,B2,Reservas!$K$2:$K$301,"No"))</f>
        <v/>
      </c>
    </row>
    <row r="3">
      <c r="A3" s="3" t="n"/>
      <c r="B3" s="3" t="n"/>
      <c r="C3" s="4">
        <f>IF(B3="","",Ajustes!$B$4&amp;B3)</f>
        <v/>
      </c>
      <c r="D3" s="3" t="n"/>
      <c r="E3" s="3" t="n"/>
      <c r="F3" s="7">
        <f>IF(B3="","",SUMIFS(Reservas!$G$2:$G$301,Reservas!$B$2:$B$301,B3))</f>
        <v/>
      </c>
      <c r="G3" s="7">
        <f>IF(B3="","",SUMIFS(Reservas!$I$2:$I$301,Reservas!$B$2:$B$301,B3))</f>
        <v/>
      </c>
      <c r="H3" s="7">
        <f>IF(B3="","",SUMIFS(Reservas!$I$2:$I$301,Reservas!$B$2:$B$301,B3,Reservas!$K$2:$K$301,"No"))</f>
        <v/>
      </c>
    </row>
    <row r="4">
      <c r="A4" s="3" t="n"/>
      <c r="B4" s="3" t="n"/>
      <c r="C4" s="4">
        <f>IF(B4="","",Ajustes!$B$4&amp;B4)</f>
        <v/>
      </c>
      <c r="D4" s="3" t="n"/>
      <c r="E4" s="3" t="n"/>
      <c r="F4" s="7">
        <f>IF(B4="","",SUMIFS(Reservas!$G$2:$G$301,Reservas!$B$2:$B$301,B4))</f>
        <v/>
      </c>
      <c r="G4" s="7">
        <f>IF(B4="","",SUMIFS(Reservas!$I$2:$I$301,Reservas!$B$2:$B$301,B4))</f>
        <v/>
      </c>
      <c r="H4" s="7">
        <f>IF(B4="","",SUMIFS(Reservas!$I$2:$I$301,Reservas!$B$2:$B$301,B4,Reservas!$K$2:$K$301,"No"))</f>
        <v/>
      </c>
    </row>
    <row r="5">
      <c r="A5" s="3" t="n"/>
      <c r="B5" s="3" t="n"/>
      <c r="C5" s="4">
        <f>IF(B5="","",Ajustes!$B$4&amp;B5)</f>
        <v/>
      </c>
      <c r="D5" s="3" t="n"/>
      <c r="E5" s="3" t="n"/>
      <c r="F5" s="7">
        <f>IF(B5="","",SUMIFS(Reservas!$G$2:$G$301,Reservas!$B$2:$B$301,B5))</f>
        <v/>
      </c>
      <c r="G5" s="7">
        <f>IF(B5="","",SUMIFS(Reservas!$I$2:$I$301,Reservas!$B$2:$B$301,B5))</f>
        <v/>
      </c>
      <c r="H5" s="7">
        <f>IF(B5="","",SUMIFS(Reservas!$I$2:$I$301,Reservas!$B$2:$B$301,B5,Reservas!$K$2:$K$301,"No"))</f>
        <v/>
      </c>
    </row>
    <row r="6">
      <c r="A6" s="3" t="n"/>
      <c r="B6" s="3" t="n"/>
      <c r="C6" s="4">
        <f>IF(B6="","",Ajustes!$B$4&amp;B6)</f>
        <v/>
      </c>
      <c r="D6" s="3" t="n"/>
      <c r="E6" s="3" t="n"/>
      <c r="F6" s="7">
        <f>IF(B6="","",SUMIFS(Reservas!$G$2:$G$301,Reservas!$B$2:$B$301,B6))</f>
        <v/>
      </c>
      <c r="G6" s="7">
        <f>IF(B6="","",SUMIFS(Reservas!$I$2:$I$301,Reservas!$B$2:$B$301,B6))</f>
        <v/>
      </c>
      <c r="H6" s="7">
        <f>IF(B6="","",SUMIFS(Reservas!$I$2:$I$301,Reservas!$B$2:$B$301,B6,Reservas!$K$2:$K$301,"No"))</f>
        <v/>
      </c>
    </row>
    <row r="7">
      <c r="A7" s="3" t="n"/>
      <c r="B7" s="3" t="n"/>
      <c r="C7" s="4">
        <f>IF(B7="","",Ajustes!$B$4&amp;B7)</f>
        <v/>
      </c>
      <c r="D7" s="3" t="n"/>
      <c r="E7" s="3" t="n"/>
      <c r="F7" s="7">
        <f>IF(B7="","",SUMIFS(Reservas!$G$2:$G$301,Reservas!$B$2:$B$301,B7))</f>
        <v/>
      </c>
      <c r="G7" s="7">
        <f>IF(B7="","",SUMIFS(Reservas!$I$2:$I$301,Reservas!$B$2:$B$301,B7))</f>
        <v/>
      </c>
      <c r="H7" s="7">
        <f>IF(B7="","",SUMIFS(Reservas!$I$2:$I$301,Reservas!$B$2:$B$301,B7,Reservas!$K$2:$K$301,"No"))</f>
        <v/>
      </c>
    </row>
    <row r="8">
      <c r="A8" s="3" t="n"/>
      <c r="B8" s="3" t="n"/>
      <c r="C8" s="4">
        <f>IF(B8="","",Ajustes!$B$4&amp;B8)</f>
        <v/>
      </c>
      <c r="D8" s="3" t="n"/>
      <c r="E8" s="3" t="n"/>
      <c r="F8" s="7">
        <f>IF(B8="","",SUMIFS(Reservas!$G$2:$G$301,Reservas!$B$2:$B$301,B8))</f>
        <v/>
      </c>
      <c r="G8" s="7">
        <f>IF(B8="","",SUMIFS(Reservas!$I$2:$I$301,Reservas!$B$2:$B$301,B8))</f>
        <v/>
      </c>
      <c r="H8" s="7">
        <f>IF(B8="","",SUMIFS(Reservas!$I$2:$I$301,Reservas!$B$2:$B$301,B8,Reservas!$K$2:$K$301,"No"))</f>
        <v/>
      </c>
    </row>
    <row r="9">
      <c r="A9" s="3" t="n"/>
      <c r="B9" s="3" t="n"/>
      <c r="C9" s="4">
        <f>IF(B9="","",Ajustes!$B$4&amp;B9)</f>
        <v/>
      </c>
      <c r="D9" s="3" t="n"/>
      <c r="E9" s="3" t="n"/>
      <c r="F9" s="7">
        <f>IF(B9="","",SUMIFS(Reservas!$G$2:$G$301,Reservas!$B$2:$B$301,B9))</f>
        <v/>
      </c>
      <c r="G9" s="7">
        <f>IF(B9="","",SUMIFS(Reservas!$I$2:$I$301,Reservas!$B$2:$B$301,B9))</f>
        <v/>
      </c>
      <c r="H9" s="7">
        <f>IF(B9="","",SUMIFS(Reservas!$I$2:$I$301,Reservas!$B$2:$B$301,B9,Reservas!$K$2:$K$301,"No"))</f>
        <v/>
      </c>
    </row>
    <row r="10">
      <c r="A10" s="3" t="n"/>
      <c r="B10" s="3" t="n"/>
      <c r="C10" s="4">
        <f>IF(B10="","",Ajustes!$B$4&amp;B10)</f>
        <v/>
      </c>
      <c r="D10" s="3" t="n"/>
      <c r="E10" s="3" t="n"/>
      <c r="F10" s="7">
        <f>IF(B10="","",SUMIFS(Reservas!$G$2:$G$301,Reservas!$B$2:$B$301,B10))</f>
        <v/>
      </c>
      <c r="G10" s="7">
        <f>IF(B10="","",SUMIFS(Reservas!$I$2:$I$301,Reservas!$B$2:$B$301,B10))</f>
        <v/>
      </c>
      <c r="H10" s="7">
        <f>IF(B10="","",SUMIFS(Reservas!$I$2:$I$301,Reservas!$B$2:$B$301,B10,Reservas!$K$2:$K$301,"No"))</f>
        <v/>
      </c>
    </row>
    <row r="11">
      <c r="A11" s="3" t="n"/>
      <c r="B11" s="3" t="n"/>
      <c r="C11" s="4">
        <f>IF(B11="","",Ajustes!$B$4&amp;B11)</f>
        <v/>
      </c>
      <c r="D11" s="3" t="n"/>
      <c r="E11" s="3" t="n"/>
      <c r="F11" s="7">
        <f>IF(B11="","",SUMIFS(Reservas!$G$2:$G$301,Reservas!$B$2:$B$301,B11))</f>
        <v/>
      </c>
      <c r="G11" s="7">
        <f>IF(B11="","",SUMIFS(Reservas!$I$2:$I$301,Reservas!$B$2:$B$301,B11))</f>
        <v/>
      </c>
      <c r="H11" s="7">
        <f>IF(B11="","",SUMIFS(Reservas!$I$2:$I$301,Reservas!$B$2:$B$301,B11,Reservas!$K$2:$K$301,"No"))</f>
        <v/>
      </c>
    </row>
    <row r="12">
      <c r="A12" s="3" t="n"/>
      <c r="B12" s="3" t="n"/>
      <c r="C12" s="4">
        <f>IF(B12="","",Ajustes!$B$4&amp;B12)</f>
        <v/>
      </c>
      <c r="D12" s="3" t="n"/>
      <c r="E12" s="3" t="n"/>
      <c r="F12" s="7">
        <f>IF(B12="","",SUMIFS(Reservas!$G$2:$G$301,Reservas!$B$2:$B$301,B12))</f>
        <v/>
      </c>
      <c r="G12" s="7">
        <f>IF(B12="","",SUMIFS(Reservas!$I$2:$I$301,Reservas!$B$2:$B$301,B12))</f>
        <v/>
      </c>
      <c r="H12" s="7">
        <f>IF(B12="","",SUMIFS(Reservas!$I$2:$I$301,Reservas!$B$2:$B$301,B12,Reservas!$K$2:$K$301,"No"))</f>
        <v/>
      </c>
    </row>
    <row r="13">
      <c r="A13" s="3" t="n"/>
      <c r="B13" s="3" t="n"/>
      <c r="C13" s="4">
        <f>IF(B13="","",Ajustes!$B$4&amp;B13)</f>
        <v/>
      </c>
      <c r="D13" s="3" t="n"/>
      <c r="E13" s="3" t="n"/>
      <c r="F13" s="7">
        <f>IF(B13="","",SUMIFS(Reservas!$G$2:$G$301,Reservas!$B$2:$B$301,B13))</f>
        <v/>
      </c>
      <c r="G13" s="7">
        <f>IF(B13="","",SUMIFS(Reservas!$I$2:$I$301,Reservas!$B$2:$B$301,B13))</f>
        <v/>
      </c>
      <c r="H13" s="7">
        <f>IF(B13="","",SUMIFS(Reservas!$I$2:$I$301,Reservas!$B$2:$B$301,B13,Reservas!$K$2:$K$301,"No"))</f>
        <v/>
      </c>
    </row>
    <row r="14">
      <c r="A14" s="3" t="n"/>
      <c r="B14" s="3" t="n"/>
      <c r="C14" s="4">
        <f>IF(B14="","",Ajustes!$B$4&amp;B14)</f>
        <v/>
      </c>
      <c r="D14" s="3" t="n"/>
      <c r="E14" s="3" t="n"/>
      <c r="F14" s="7">
        <f>IF(B14="","",SUMIFS(Reservas!$G$2:$G$301,Reservas!$B$2:$B$301,B14))</f>
        <v/>
      </c>
      <c r="G14" s="7">
        <f>IF(B14="","",SUMIFS(Reservas!$I$2:$I$301,Reservas!$B$2:$B$301,B14))</f>
        <v/>
      </c>
      <c r="H14" s="7">
        <f>IF(B14="","",SUMIFS(Reservas!$I$2:$I$301,Reservas!$B$2:$B$301,B14,Reservas!$K$2:$K$301,"No"))</f>
        <v/>
      </c>
    </row>
    <row r="15">
      <c r="A15" s="3" t="n"/>
      <c r="B15" s="3" t="n"/>
      <c r="C15" s="4">
        <f>IF(B15="","",Ajustes!$B$4&amp;B15)</f>
        <v/>
      </c>
      <c r="D15" s="3" t="n"/>
      <c r="E15" s="3" t="n"/>
      <c r="F15" s="7">
        <f>IF(B15="","",SUMIFS(Reservas!$G$2:$G$301,Reservas!$B$2:$B$301,B15))</f>
        <v/>
      </c>
      <c r="G15" s="7">
        <f>IF(B15="","",SUMIFS(Reservas!$I$2:$I$301,Reservas!$B$2:$B$301,B15))</f>
        <v/>
      </c>
      <c r="H15" s="7">
        <f>IF(B15="","",SUMIFS(Reservas!$I$2:$I$301,Reservas!$B$2:$B$301,B15,Reservas!$K$2:$K$301,"No"))</f>
        <v/>
      </c>
    </row>
    <row r="16">
      <c r="A16" s="3" t="n"/>
      <c r="B16" s="3" t="n"/>
      <c r="C16" s="4">
        <f>IF(B16="","",Ajustes!$B$4&amp;B16)</f>
        <v/>
      </c>
      <c r="D16" s="3" t="n"/>
      <c r="E16" s="3" t="n"/>
      <c r="F16" s="7">
        <f>IF(B16="","",SUMIFS(Reservas!$G$2:$G$301,Reservas!$B$2:$B$301,B16))</f>
        <v/>
      </c>
      <c r="G16" s="7">
        <f>IF(B16="","",SUMIFS(Reservas!$I$2:$I$301,Reservas!$B$2:$B$301,B16))</f>
        <v/>
      </c>
      <c r="H16" s="7">
        <f>IF(B16="","",SUMIFS(Reservas!$I$2:$I$301,Reservas!$B$2:$B$301,B16,Reservas!$K$2:$K$301,"No"))</f>
        <v/>
      </c>
    </row>
    <row r="17">
      <c r="A17" s="3" t="n"/>
      <c r="B17" s="3" t="n"/>
      <c r="C17" s="4">
        <f>IF(B17="","",Ajustes!$B$4&amp;B17)</f>
        <v/>
      </c>
      <c r="D17" s="3" t="n"/>
      <c r="E17" s="3" t="n"/>
      <c r="F17" s="7">
        <f>IF(B17="","",SUMIFS(Reservas!$G$2:$G$301,Reservas!$B$2:$B$301,B17))</f>
        <v/>
      </c>
      <c r="G17" s="7">
        <f>IF(B17="","",SUMIFS(Reservas!$I$2:$I$301,Reservas!$B$2:$B$301,B17))</f>
        <v/>
      </c>
      <c r="H17" s="7">
        <f>IF(B17="","",SUMIFS(Reservas!$I$2:$I$301,Reservas!$B$2:$B$301,B17,Reservas!$K$2:$K$301,"No"))</f>
        <v/>
      </c>
    </row>
    <row r="18">
      <c r="A18" s="3" t="n"/>
      <c r="B18" s="3" t="n"/>
      <c r="C18" s="4">
        <f>IF(B18="","",Ajustes!$B$4&amp;B18)</f>
        <v/>
      </c>
      <c r="D18" s="3" t="n"/>
      <c r="E18" s="3" t="n"/>
      <c r="F18" s="7">
        <f>IF(B18="","",SUMIFS(Reservas!$G$2:$G$301,Reservas!$B$2:$B$301,B18))</f>
        <v/>
      </c>
      <c r="G18" s="7">
        <f>IF(B18="","",SUMIFS(Reservas!$I$2:$I$301,Reservas!$B$2:$B$301,B18))</f>
        <v/>
      </c>
      <c r="H18" s="7">
        <f>IF(B18="","",SUMIFS(Reservas!$I$2:$I$301,Reservas!$B$2:$B$301,B18,Reservas!$K$2:$K$301,"No"))</f>
        <v/>
      </c>
    </row>
    <row r="19">
      <c r="A19" s="3" t="n"/>
      <c r="B19" s="3" t="n"/>
      <c r="C19" s="4">
        <f>IF(B19="","",Ajustes!$B$4&amp;B19)</f>
        <v/>
      </c>
      <c r="D19" s="3" t="n"/>
      <c r="E19" s="3" t="n"/>
      <c r="F19" s="7">
        <f>IF(B19="","",SUMIFS(Reservas!$G$2:$G$301,Reservas!$B$2:$B$301,B19))</f>
        <v/>
      </c>
      <c r="G19" s="7">
        <f>IF(B19="","",SUMIFS(Reservas!$I$2:$I$301,Reservas!$B$2:$B$301,B19))</f>
        <v/>
      </c>
      <c r="H19" s="7">
        <f>IF(B19="","",SUMIFS(Reservas!$I$2:$I$301,Reservas!$B$2:$B$301,B19,Reservas!$K$2:$K$301,"No"))</f>
        <v/>
      </c>
    </row>
    <row r="20">
      <c r="A20" s="3" t="n"/>
      <c r="B20" s="3" t="n"/>
      <c r="C20" s="4">
        <f>IF(B20="","",Ajustes!$B$4&amp;B20)</f>
        <v/>
      </c>
      <c r="D20" s="3" t="n"/>
      <c r="E20" s="3" t="n"/>
      <c r="F20" s="7">
        <f>IF(B20="","",SUMIFS(Reservas!$G$2:$G$301,Reservas!$B$2:$B$301,B20))</f>
        <v/>
      </c>
      <c r="G20" s="7">
        <f>IF(B20="","",SUMIFS(Reservas!$I$2:$I$301,Reservas!$B$2:$B$301,B20))</f>
        <v/>
      </c>
      <c r="H20" s="7">
        <f>IF(B20="","",SUMIFS(Reservas!$I$2:$I$301,Reservas!$B$2:$B$301,B20,Reservas!$K$2:$K$301,"No"))</f>
        <v/>
      </c>
    </row>
    <row r="21">
      <c r="A21" s="3" t="n"/>
      <c r="B21" s="3" t="n"/>
      <c r="C21" s="4">
        <f>IF(B21="","",Ajustes!$B$4&amp;B21)</f>
        <v/>
      </c>
      <c r="D21" s="3" t="n"/>
      <c r="E21" s="3" t="n"/>
      <c r="F21" s="7">
        <f>IF(B21="","",SUMIFS(Reservas!$G$2:$G$301,Reservas!$B$2:$B$301,B21))</f>
        <v/>
      </c>
      <c r="G21" s="7">
        <f>IF(B21="","",SUMIFS(Reservas!$I$2:$I$301,Reservas!$B$2:$B$301,B21))</f>
        <v/>
      </c>
      <c r="H21" s="7">
        <f>IF(B21="","",SUMIFS(Reservas!$I$2:$I$301,Reservas!$B$2:$B$301,B21,Reservas!$K$2:$K$301,"No"))</f>
        <v/>
      </c>
    </row>
    <row r="22">
      <c r="A22" s="3" t="n"/>
      <c r="B22" s="3" t="n"/>
      <c r="C22" s="4">
        <f>IF(B22="","",Ajustes!$B$4&amp;B22)</f>
        <v/>
      </c>
      <c r="D22" s="3" t="n"/>
      <c r="E22" s="3" t="n"/>
      <c r="F22" s="7">
        <f>IF(B22="","",SUMIFS(Reservas!$G$2:$G$301,Reservas!$B$2:$B$301,B22))</f>
        <v/>
      </c>
      <c r="G22" s="7">
        <f>IF(B22="","",SUMIFS(Reservas!$I$2:$I$301,Reservas!$B$2:$B$301,B22))</f>
        <v/>
      </c>
      <c r="H22" s="7">
        <f>IF(B22="","",SUMIFS(Reservas!$I$2:$I$301,Reservas!$B$2:$B$301,B22,Reservas!$K$2:$K$301,"No"))</f>
        <v/>
      </c>
    </row>
    <row r="23">
      <c r="A23" s="3" t="n"/>
      <c r="B23" s="3" t="n"/>
      <c r="C23" s="4">
        <f>IF(B23="","",Ajustes!$B$4&amp;B23)</f>
        <v/>
      </c>
      <c r="D23" s="3" t="n"/>
      <c r="E23" s="3" t="n"/>
      <c r="F23" s="7">
        <f>IF(B23="","",SUMIFS(Reservas!$G$2:$G$301,Reservas!$B$2:$B$301,B23))</f>
        <v/>
      </c>
      <c r="G23" s="7">
        <f>IF(B23="","",SUMIFS(Reservas!$I$2:$I$301,Reservas!$B$2:$B$301,B23))</f>
        <v/>
      </c>
      <c r="H23" s="7">
        <f>IF(B23="","",SUMIFS(Reservas!$I$2:$I$301,Reservas!$B$2:$B$301,B23,Reservas!$K$2:$K$301,"No"))</f>
        <v/>
      </c>
    </row>
    <row r="24">
      <c r="A24" s="3" t="n"/>
      <c r="B24" s="3" t="n"/>
      <c r="C24" s="4">
        <f>IF(B24="","",Ajustes!$B$4&amp;B24)</f>
        <v/>
      </c>
      <c r="D24" s="3" t="n"/>
      <c r="E24" s="3" t="n"/>
      <c r="F24" s="7">
        <f>IF(B24="","",SUMIFS(Reservas!$G$2:$G$301,Reservas!$B$2:$B$301,B24))</f>
        <v/>
      </c>
      <c r="G24" s="7">
        <f>IF(B24="","",SUMIFS(Reservas!$I$2:$I$301,Reservas!$B$2:$B$301,B24))</f>
        <v/>
      </c>
      <c r="H24" s="7">
        <f>IF(B24="","",SUMIFS(Reservas!$I$2:$I$301,Reservas!$B$2:$B$301,B24,Reservas!$K$2:$K$301,"No"))</f>
        <v/>
      </c>
    </row>
    <row r="25">
      <c r="A25" s="3" t="n"/>
      <c r="B25" s="3" t="n"/>
      <c r="C25" s="4">
        <f>IF(B25="","",Ajustes!$B$4&amp;B25)</f>
        <v/>
      </c>
      <c r="D25" s="3" t="n"/>
      <c r="E25" s="3" t="n"/>
      <c r="F25" s="7">
        <f>IF(B25="","",SUMIFS(Reservas!$G$2:$G$301,Reservas!$B$2:$B$301,B25))</f>
        <v/>
      </c>
      <c r="G25" s="7">
        <f>IF(B25="","",SUMIFS(Reservas!$I$2:$I$301,Reservas!$B$2:$B$301,B25))</f>
        <v/>
      </c>
      <c r="H25" s="7">
        <f>IF(B25="","",SUMIFS(Reservas!$I$2:$I$301,Reservas!$B$2:$B$301,B25,Reservas!$K$2:$K$301,"No"))</f>
        <v/>
      </c>
    </row>
    <row r="26">
      <c r="A26" s="3" t="n"/>
      <c r="B26" s="3" t="n"/>
      <c r="C26" s="4">
        <f>IF(B26="","",Ajustes!$B$4&amp;B26)</f>
        <v/>
      </c>
      <c r="D26" s="3" t="n"/>
      <c r="E26" s="3" t="n"/>
      <c r="F26" s="7">
        <f>IF(B26="","",SUMIFS(Reservas!$G$2:$G$301,Reservas!$B$2:$B$301,B26))</f>
        <v/>
      </c>
      <c r="G26" s="7">
        <f>IF(B26="","",SUMIFS(Reservas!$I$2:$I$301,Reservas!$B$2:$B$301,B26))</f>
        <v/>
      </c>
      <c r="H26" s="7">
        <f>IF(B26="","",SUMIFS(Reservas!$I$2:$I$301,Reservas!$B$2:$B$301,B26,Reservas!$K$2:$K$301,"No"))</f>
        <v/>
      </c>
    </row>
    <row r="27">
      <c r="A27" s="3" t="n"/>
      <c r="B27" s="3" t="n"/>
      <c r="C27" s="4">
        <f>IF(B27="","",Ajustes!$B$4&amp;B27)</f>
        <v/>
      </c>
      <c r="D27" s="3" t="n"/>
      <c r="E27" s="3" t="n"/>
      <c r="F27" s="7">
        <f>IF(B27="","",SUMIFS(Reservas!$G$2:$G$301,Reservas!$B$2:$B$301,B27))</f>
        <v/>
      </c>
      <c r="G27" s="7">
        <f>IF(B27="","",SUMIFS(Reservas!$I$2:$I$301,Reservas!$B$2:$B$301,B27))</f>
        <v/>
      </c>
      <c r="H27" s="7">
        <f>IF(B27="","",SUMIFS(Reservas!$I$2:$I$301,Reservas!$B$2:$B$301,B27,Reservas!$K$2:$K$301,"No"))</f>
        <v/>
      </c>
    </row>
    <row r="28">
      <c r="A28" s="3" t="n"/>
      <c r="B28" s="3" t="n"/>
      <c r="C28" s="4">
        <f>IF(B28="","",Ajustes!$B$4&amp;B28)</f>
        <v/>
      </c>
      <c r="D28" s="3" t="n"/>
      <c r="E28" s="3" t="n"/>
      <c r="F28" s="7">
        <f>IF(B28="","",SUMIFS(Reservas!$G$2:$G$301,Reservas!$B$2:$B$301,B28))</f>
        <v/>
      </c>
      <c r="G28" s="7">
        <f>IF(B28="","",SUMIFS(Reservas!$I$2:$I$301,Reservas!$B$2:$B$301,B28))</f>
        <v/>
      </c>
      <c r="H28" s="7">
        <f>IF(B28="","",SUMIFS(Reservas!$I$2:$I$301,Reservas!$B$2:$B$301,B28,Reservas!$K$2:$K$301,"No"))</f>
        <v/>
      </c>
    </row>
    <row r="29">
      <c r="A29" s="3" t="n"/>
      <c r="B29" s="3" t="n"/>
      <c r="C29" s="4">
        <f>IF(B29="","",Ajustes!$B$4&amp;B29)</f>
        <v/>
      </c>
      <c r="D29" s="3" t="n"/>
      <c r="E29" s="3" t="n"/>
      <c r="F29" s="7">
        <f>IF(B29="","",SUMIFS(Reservas!$G$2:$G$301,Reservas!$B$2:$B$301,B29))</f>
        <v/>
      </c>
      <c r="G29" s="7">
        <f>IF(B29="","",SUMIFS(Reservas!$I$2:$I$301,Reservas!$B$2:$B$301,B29))</f>
        <v/>
      </c>
      <c r="H29" s="7">
        <f>IF(B29="","",SUMIFS(Reservas!$I$2:$I$301,Reservas!$B$2:$B$301,B29,Reservas!$K$2:$K$301,"No"))</f>
        <v/>
      </c>
    </row>
    <row r="30">
      <c r="A30" s="3" t="n"/>
      <c r="B30" s="3" t="n"/>
      <c r="C30" s="4">
        <f>IF(B30="","",Ajustes!$B$4&amp;B30)</f>
        <v/>
      </c>
      <c r="D30" s="3" t="n"/>
      <c r="E30" s="3" t="n"/>
      <c r="F30" s="7">
        <f>IF(B30="","",SUMIFS(Reservas!$G$2:$G$301,Reservas!$B$2:$B$301,B30))</f>
        <v/>
      </c>
      <c r="G30" s="7">
        <f>IF(B30="","",SUMIFS(Reservas!$I$2:$I$301,Reservas!$B$2:$B$301,B30))</f>
        <v/>
      </c>
      <c r="H30" s="7">
        <f>IF(B30="","",SUMIFS(Reservas!$I$2:$I$301,Reservas!$B$2:$B$301,B30,Reservas!$K$2:$K$301,"No"))</f>
        <v/>
      </c>
    </row>
    <row r="31">
      <c r="A31" s="3" t="n"/>
      <c r="B31" s="3" t="n"/>
      <c r="C31" s="4">
        <f>IF(B31="","",Ajustes!$B$4&amp;B31)</f>
        <v/>
      </c>
      <c r="D31" s="3" t="n"/>
      <c r="E31" s="3" t="n"/>
      <c r="F31" s="7">
        <f>IF(B31="","",SUMIFS(Reservas!$G$2:$G$301,Reservas!$B$2:$B$301,B31))</f>
        <v/>
      </c>
      <c r="G31" s="7">
        <f>IF(B31="","",SUMIFS(Reservas!$I$2:$I$301,Reservas!$B$2:$B$301,B31))</f>
        <v/>
      </c>
      <c r="H31" s="7">
        <f>IF(B31="","",SUMIFS(Reservas!$I$2:$I$301,Reservas!$B$2:$B$301,B31,Reservas!$K$2:$K$301,"No"))</f>
        <v/>
      </c>
    </row>
    <row r="32">
      <c r="A32" s="3" t="n"/>
      <c r="B32" s="3" t="n"/>
      <c r="C32" s="4">
        <f>IF(B32="","",Ajustes!$B$4&amp;B32)</f>
        <v/>
      </c>
      <c r="D32" s="3" t="n"/>
      <c r="E32" s="3" t="n"/>
      <c r="F32" s="7">
        <f>IF(B32="","",SUMIFS(Reservas!$G$2:$G$301,Reservas!$B$2:$B$301,B32))</f>
        <v/>
      </c>
      <c r="G32" s="7">
        <f>IF(B32="","",SUMIFS(Reservas!$I$2:$I$301,Reservas!$B$2:$B$301,B32))</f>
        <v/>
      </c>
      <c r="H32" s="7">
        <f>IF(B32="","",SUMIFS(Reservas!$I$2:$I$301,Reservas!$B$2:$B$301,B32,Reservas!$K$2:$K$301,"No"))</f>
        <v/>
      </c>
    </row>
    <row r="34">
      <c r="A34" s="9" t="inlineStr">
        <is>
          <t>TOTAL</t>
        </is>
      </c>
      <c r="F34" s="10">
        <f>SUM(F2:F33)</f>
        <v/>
      </c>
      <c r="G34" s="10">
        <f>SUM(G2:G33)</f>
        <v/>
      </c>
      <c r="H34" s="10">
        <f>SUM(H2:H33)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</cols>
  <sheetData>
    <row r="1">
      <c r="A1" s="11" t="inlineStr">
        <is>
          <t>Ajustes</t>
        </is>
      </c>
    </row>
    <row r="2">
      <c r="A2" s="4" t="inlineStr">
        <is>
          <t>Comisión para agencias</t>
        </is>
      </c>
      <c r="B2" s="12" t="n">
        <v>0.15</v>
      </c>
    </row>
    <row r="3">
      <c r="A3" s="4" t="inlineStr">
        <is>
          <t>Días para pagar la comisión</t>
        </is>
      </c>
      <c r="B3" s="13" t="n">
        <v>7</v>
      </c>
    </row>
    <row r="4">
      <c r="A4" s="4" t="inlineStr">
        <is>
          <t>Enlace base para agencias</t>
        </is>
      </c>
      <c r="B4" s="3" t="inlineStr">
        <is>
          <t>https://300sun.com/cruise/?ref=</t>
        </is>
      </c>
    </row>
    <row r="6">
      <c r="A6" s="9" t="inlineStr">
        <is>
          <t>Cómo usar esta hoja</t>
        </is>
      </c>
    </row>
    <row r="7">
      <c r="A7" s="4" t="inlineStr">
        <is>
          <t>• Rellena solo las celdas en azul (con fondo amarillo las más importantes). Lo negro se calcula solo.</t>
        </is>
      </c>
    </row>
    <row r="8">
      <c r="A8" s="4" t="inlineStr">
        <is>
          <t>• Agencias: una fila por agencia. El "código ref" va en minúsculas y con guiones (ej. sunny-cruises); el enlace sale solo.</t>
        </is>
      </c>
    </row>
    <row r="9">
      <c r="A9" s="4" t="inlineStr">
        <is>
          <t>• Reservas: una fila por paseo o paella vendido por una agencia. Pon lo que pagó el cliente (sin propinas, entradas ni comida).</t>
        </is>
      </c>
    </row>
    <row r="10">
      <c r="A10" s="4" t="inlineStr">
        <is>
          <t>• Cuando pagues la comisión, cambia "Pagada" a Sí y pon fecha y método. La hoja Agencias te dice cuánto debes a cada una.</t>
        </is>
      </c>
    </row>
    <row r="11">
      <c r="A11" s="4" t="inlineStr">
        <is>
          <t>• Las filas de "test-agency" son un ejemplo: bórralas cuando tengas reservas reales.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2026-10-05T21:11:06Z</dcterms:created>
  <dcterms:modified xsi:type="dcterms:W3CDTF">2026-10-05T21:11:06Z</dcterms:modified>
</cp:coreProperties>
</file>